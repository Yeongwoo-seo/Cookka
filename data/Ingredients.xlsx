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'시트1'!$A$1:$A$1000</definedName>
  </definedNames>
  <calcPr/>
</workbook>
</file>

<file path=xl/sharedStrings.xml><?xml version="1.0" encoding="utf-8"?>
<sst xmlns="http://schemas.openxmlformats.org/spreadsheetml/2006/main" count="520" uniqueCount="228">
  <si>
    <t>name</t>
  </si>
  <si>
    <t>category</t>
  </si>
  <si>
    <t>productName</t>
  </si>
  <si>
    <t>supplier</t>
  </si>
  <si>
    <t>costPerUnit</t>
  </si>
  <si>
    <t>시금치</t>
  </si>
  <si>
    <t>Spinach Bunch</t>
  </si>
  <si>
    <t>Coles</t>
  </si>
  <si>
    <t>리크</t>
  </si>
  <si>
    <t>Leek</t>
  </si>
  <si>
    <t>대파</t>
  </si>
  <si>
    <t>Spring onion</t>
  </si>
  <si>
    <t>상추</t>
  </si>
  <si>
    <t>Coles Combo Lettuce</t>
  </si>
  <si>
    <t>양상추</t>
  </si>
  <si>
    <t>Iceburg Lettuce</t>
  </si>
  <si>
    <t>애호박</t>
  </si>
  <si>
    <t>Coles Zucchini</t>
  </si>
  <si>
    <t>빨간 피망</t>
  </si>
  <si>
    <t>Red Capsicums</t>
  </si>
  <si>
    <t>초록 피망</t>
  </si>
  <si>
    <t>Green Capsicums</t>
  </si>
  <si>
    <t>노란 피망</t>
  </si>
  <si>
    <t>Yellow Capsicums</t>
  </si>
  <si>
    <t>감자</t>
  </si>
  <si>
    <t>Coles Original Brushed Potatoes</t>
  </si>
  <si>
    <t>당근</t>
  </si>
  <si>
    <t xml:space="preserve">Coles Organic Carrots </t>
  </si>
  <si>
    <t>Carrots</t>
  </si>
  <si>
    <t>Coles Baby Carrots</t>
  </si>
  <si>
    <t>완두콩</t>
  </si>
  <si>
    <t>Green Beans</t>
  </si>
  <si>
    <t>양배추</t>
  </si>
  <si>
    <t>Coles Half Drumhead Cabbage</t>
  </si>
  <si>
    <t>양파</t>
  </si>
  <si>
    <t>I'm perfect Onions</t>
  </si>
  <si>
    <t>적양파</t>
  </si>
  <si>
    <t>Coles Red Onion</t>
  </si>
  <si>
    <t>Coles Brown Onions</t>
  </si>
  <si>
    <t>오이</t>
  </si>
  <si>
    <t>Continental Cucumber</t>
  </si>
  <si>
    <t>계란</t>
  </si>
  <si>
    <t>Pace Farm</t>
  </si>
  <si>
    <t>Coles Cage Free (800g)</t>
  </si>
  <si>
    <t>Coles Cage Free (700g)</t>
  </si>
  <si>
    <t xml:space="preserve">Sunrise </t>
  </si>
  <si>
    <t>Sunny Queen</t>
  </si>
  <si>
    <t>Manning Valley</t>
  </si>
  <si>
    <t>Coles Free Range</t>
  </si>
  <si>
    <t>Surf Coast</t>
  </si>
  <si>
    <t>닭다리</t>
  </si>
  <si>
    <t>Chicken Drumstick</t>
  </si>
  <si>
    <t>새우</t>
  </si>
  <si>
    <t>KB's Cooked &amp; Peeled Prawn</t>
  </si>
  <si>
    <t>오징어</t>
  </si>
  <si>
    <t>KB's Natural Squid Rings</t>
  </si>
  <si>
    <t>우유</t>
  </si>
  <si>
    <t>a2 Dairy</t>
  </si>
  <si>
    <t>Farmhouse</t>
  </si>
  <si>
    <t>Dairy Farmers 2L</t>
  </si>
  <si>
    <t>Coles Full 2L</t>
  </si>
  <si>
    <t>식용유</t>
  </si>
  <si>
    <t>Coles Vegetable Oil 4L</t>
  </si>
  <si>
    <t>Coles Canola Oil 4L</t>
  </si>
  <si>
    <t>쌀</t>
  </si>
  <si>
    <t xml:space="preserve">Sunrice Medium Grain </t>
  </si>
  <si>
    <t>Woolworth</t>
  </si>
  <si>
    <t>Spring onion(1+1)</t>
  </si>
  <si>
    <t>Lettuce Oak</t>
  </si>
  <si>
    <t>Lettuce Oak(1+1)</t>
  </si>
  <si>
    <t>Carrot baby</t>
  </si>
  <si>
    <t>Carrots 1kg</t>
  </si>
  <si>
    <t>Wombok</t>
  </si>
  <si>
    <t>Cucumber Lebanese</t>
  </si>
  <si>
    <t>Cucumber Continental</t>
  </si>
  <si>
    <t>Onion Brown</t>
  </si>
  <si>
    <t>Onion Brown 5kg</t>
  </si>
  <si>
    <t>Onion Brwon 2kg</t>
  </si>
  <si>
    <t>Potato Brushed Lse</t>
  </si>
  <si>
    <t>Potato White Washed</t>
  </si>
  <si>
    <t>Potato Whited Washed Baby</t>
  </si>
  <si>
    <t>Island Canola Oil 5L</t>
  </si>
  <si>
    <t>Drumstick Bulk Tray</t>
  </si>
  <si>
    <t>WW Cage 700g</t>
  </si>
  <si>
    <t>WW Free Range Large 12pk</t>
  </si>
  <si>
    <t>Pace Farm L 12pk</t>
  </si>
  <si>
    <t>Pace Fram XL 12pk</t>
  </si>
  <si>
    <t>해나루쌀 10kg</t>
  </si>
  <si>
    <t>J-Mart</t>
  </si>
  <si>
    <t>해들목 맑은쌀 10kg</t>
  </si>
  <si>
    <t>상주 금빛고랑 20kg</t>
  </si>
  <si>
    <t>타이완 세척쌀</t>
  </si>
  <si>
    <t>고추장</t>
  </si>
  <si>
    <t>순창 태양초 고추장 3kg</t>
  </si>
  <si>
    <t>해찬들 태양초고추장 3kg</t>
  </si>
  <si>
    <t>된장</t>
  </si>
  <si>
    <t>순창 재래식된장 2kg</t>
  </si>
  <si>
    <t>해찬들 재래식된장</t>
  </si>
  <si>
    <t>식초</t>
  </si>
  <si>
    <t>백설 사과식초 1.8L</t>
  </si>
  <si>
    <t>환만식초 1.8L</t>
  </si>
  <si>
    <t xml:space="preserve">샘표 양조식초 1.8L </t>
  </si>
  <si>
    <t>청정원 2배 사과식초 1.8L</t>
  </si>
  <si>
    <t>CJ 사과식초 1.8L</t>
  </si>
  <si>
    <t>오뚜기 케찹 500g</t>
  </si>
  <si>
    <t>롯데 미림 900ml</t>
  </si>
  <si>
    <t>롯데 미림 1.8L</t>
  </si>
  <si>
    <t>마요네즈</t>
  </si>
  <si>
    <t>오뚜기 마요네즈 800g</t>
  </si>
  <si>
    <t>참기름</t>
  </si>
  <si>
    <t>해표 참기름 500ml</t>
  </si>
  <si>
    <t>백설 진한 참기름 500g</t>
  </si>
  <si>
    <t>오뚜기 참기름 500ml</t>
  </si>
  <si>
    <t>오뚜기 참기름 1L</t>
  </si>
  <si>
    <t>미소</t>
  </si>
  <si>
    <t>인스턴트 미소유부</t>
  </si>
  <si>
    <t xml:space="preserve">Harukome Instant Tofu </t>
  </si>
  <si>
    <t>MKM Instant Miso</t>
  </si>
  <si>
    <t>해표 옥수수유 1.8L</t>
  </si>
  <si>
    <t>백설 콩기름 0.9L</t>
  </si>
  <si>
    <t>백설 콩기름 1.5L</t>
  </si>
  <si>
    <t>백설 옥수수유 1.8L</t>
  </si>
  <si>
    <t>물엿</t>
  </si>
  <si>
    <t>백설 요리당 2.45kg</t>
  </si>
  <si>
    <t>해표 물엿 5kg</t>
  </si>
  <si>
    <t>해표 포도씨유 900ml</t>
  </si>
  <si>
    <t>동원 압착 올리브유 850ml</t>
  </si>
  <si>
    <t>백설 올리브유 500ml</t>
  </si>
  <si>
    <t>해표 식용유 900ml</t>
  </si>
  <si>
    <t>오뚜기 옥수수유 0.9ml</t>
  </si>
  <si>
    <t>해표 식용유 1.8L</t>
  </si>
  <si>
    <t>간장</t>
  </si>
  <si>
    <t>샘표 양조간장 5L</t>
  </si>
  <si>
    <t>굴소스</t>
  </si>
  <si>
    <t>판다 굴소스 510g</t>
  </si>
  <si>
    <t>판다 굴소스 907g</t>
  </si>
  <si>
    <t>참치액</t>
  </si>
  <si>
    <t>청정원 맛선생참치액 560g</t>
  </si>
  <si>
    <t>동원 참치액 순 900ml</t>
  </si>
  <si>
    <t>동원 참치액 진 900ml</t>
  </si>
  <si>
    <t>사조 참치액 900g</t>
  </si>
  <si>
    <t>샘표 진간장 금F3 1.7L</t>
  </si>
  <si>
    <t>샘표 진간장 금F3 860nl</t>
  </si>
  <si>
    <t>샘표 진간장 금S 1.7L</t>
  </si>
  <si>
    <t>샘표 진간장 금S 860ml</t>
  </si>
  <si>
    <t>양조간장</t>
  </si>
  <si>
    <t>샘표 양조간장 1.7L</t>
  </si>
  <si>
    <t>국간장</t>
  </si>
  <si>
    <t>샘표 한식국간장 860ml</t>
  </si>
  <si>
    <t>샘표 한식국간장 500ml</t>
  </si>
  <si>
    <t>부침가루</t>
  </si>
  <si>
    <t>아씨 부침가루 907g</t>
  </si>
  <si>
    <t>튀김가루</t>
  </si>
  <si>
    <t>아씨 튀김가루 907g</t>
  </si>
  <si>
    <t>곰표 튀김가루 1kg</t>
  </si>
  <si>
    <t>백설 부침가루 500g</t>
  </si>
  <si>
    <t>해표 튀김가루 1kg</t>
  </si>
  <si>
    <t>백설 바삭 부침가루 1kg</t>
  </si>
  <si>
    <t>오뚜기 부침가루 500g</t>
  </si>
  <si>
    <t>오뚜기 부침가루 1kg</t>
  </si>
  <si>
    <t>매실청</t>
  </si>
  <si>
    <t>청정원 매실청 550g</t>
  </si>
  <si>
    <t>백설 매실청 1.025kg</t>
  </si>
  <si>
    <t>매실액기스 1.2L</t>
  </si>
  <si>
    <t>파인애플컷 오징어 1kg</t>
  </si>
  <si>
    <t>제철오징어 1kg</t>
  </si>
  <si>
    <t>돈까스</t>
  </si>
  <si>
    <t>봉쉐프 등심돈까스</t>
  </si>
  <si>
    <t>어묵</t>
  </si>
  <si>
    <t>한섬 사각어묵 450g</t>
  </si>
  <si>
    <t>한섬 부산어묵 350g</t>
  </si>
  <si>
    <t>고래시 삼천어묵 640g</t>
  </si>
  <si>
    <t>맛살</t>
  </si>
  <si>
    <t>오양 맛살 1kg</t>
  </si>
  <si>
    <t>대림 게맛살 500g</t>
  </si>
  <si>
    <t>한성 크래미 300g</t>
  </si>
  <si>
    <t>한성 크래미 180g</t>
  </si>
  <si>
    <t>샘표 사각어묵 1kg</t>
  </si>
  <si>
    <t>샘표 도미살 사각어묵 1kg</t>
  </si>
  <si>
    <t>도미살로 만든 두부어묵 240g</t>
  </si>
  <si>
    <t>신화 사각어묵 1kg</t>
  </si>
  <si>
    <t>봉쉐프 사각어묵 300g</t>
  </si>
  <si>
    <t>봉쉐프 사각어묵 1kg</t>
  </si>
  <si>
    <t>떡</t>
  </si>
  <si>
    <t>국민학교 밀떡 1kg</t>
  </si>
  <si>
    <t>국민학교 치즈떡 1kg</t>
  </si>
  <si>
    <t>국민학교 고구마떡 1kg</t>
  </si>
  <si>
    <t>종가집 떡국떡 500g</t>
  </si>
  <si>
    <t>아씨 신당동떡볶이떡 907g</t>
  </si>
  <si>
    <t>종가집 떡볶이떡 1kg</t>
  </si>
  <si>
    <t>왕구멍 쌀떡볶이떡 500g</t>
  </si>
  <si>
    <t>봉쉐프 치킨무 1kg</t>
  </si>
  <si>
    <t>치킨통무 200g</t>
  </si>
  <si>
    <t>꼬마 치킨무 200g</t>
  </si>
  <si>
    <t>초립동이 맛진미 227g</t>
  </si>
  <si>
    <t>초립동이 오징어채 일미 22g</t>
  </si>
  <si>
    <t>봉쉐프 산고추 1kg</t>
  </si>
  <si>
    <t>고추절임 1kg</t>
  </si>
  <si>
    <t>쌈무</t>
  </si>
  <si>
    <t>하선정 쌈무 320g</t>
  </si>
  <si>
    <t>아씨 새콤무우쌈 190g</t>
  </si>
  <si>
    <t>청정원 새콤 썸무 180g</t>
  </si>
  <si>
    <t>한상 쌈무 와사비맛 180g</t>
  </si>
  <si>
    <t>한국 두부 750g</t>
  </si>
  <si>
    <t>한국 두부 275g</t>
  </si>
  <si>
    <t>두부</t>
  </si>
  <si>
    <t>한국 손두부 450g</t>
  </si>
  <si>
    <t>비비고 찌개용두부 300g</t>
  </si>
  <si>
    <t>비비고 부침용두부 300g</t>
  </si>
  <si>
    <t>생채움 부침용두부 300g</t>
  </si>
  <si>
    <t>생채움 찌개용두부 300g</t>
  </si>
  <si>
    <t>초당 두부 850g</t>
  </si>
  <si>
    <t>초당 순두부 450g</t>
  </si>
  <si>
    <t>초당 유기농두부 450g</t>
  </si>
  <si>
    <t>초당 연두부 300g</t>
  </si>
  <si>
    <t>초당 두부 275g</t>
  </si>
  <si>
    <t>초당 단단한두부 650g</t>
  </si>
  <si>
    <t>초당 조각두부 500g</t>
  </si>
  <si>
    <t>깻잎</t>
  </si>
  <si>
    <t>콩나물</t>
  </si>
  <si>
    <t>숙주</t>
  </si>
  <si>
    <t>Lebanese Cucumber</t>
  </si>
  <si>
    <t>부추</t>
  </si>
  <si>
    <t>Canabolas Egg 700g</t>
  </si>
  <si>
    <t>팽이버섯</t>
  </si>
  <si>
    <t>마늘</t>
  </si>
  <si>
    <t>깐마늘 1kg</t>
  </si>
  <si>
    <t>다진마늘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</si>
</sst>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44746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tr">
        <f>IFERROR(__xludf.DUMMYFUNCTION("AI(""이거 보고 육류, 채소, 곡물, 조미료, 기타 중에 제일 적절한걸로 골라줘"",A2)"),"채소")</f>
        <v>채소</v>
      </c>
      <c r="C2" s="1" t="s">
        <v>6</v>
      </c>
      <c r="D2" s="1" t="s">
        <v>7</v>
      </c>
      <c r="E2" s="2">
        <v>16.176470588235293</v>
      </c>
    </row>
    <row r="3">
      <c r="A3" s="1" t="s">
        <v>8</v>
      </c>
      <c r="B3" s="1" t="str">
        <f>IFERROR(__xludf.DUMMYFUNCTION("AI(""이거 보고 육류, 채소, 곡물, 조미료, 기타 중에 제일 적절한걸로 골라줘"",A3)"),"채소")</f>
        <v>채소</v>
      </c>
      <c r="C3" s="1" t="s">
        <v>9</v>
      </c>
      <c r="D3" s="1" t="s">
        <v>7</v>
      </c>
      <c r="E3" s="2">
        <v>7.5</v>
      </c>
    </row>
    <row r="4">
      <c r="A4" s="1" t="s">
        <v>10</v>
      </c>
      <c r="B4" s="1" t="str">
        <f>IFERROR(__xludf.DUMMYFUNCTION("AI(""이거 보고 육류, 채소, 곡물, 조미료, 기타 중에 제일 적절한걸로 골라줘"",A4)"),"채소")</f>
        <v>채소</v>
      </c>
      <c r="C4" s="1" t="s">
        <v>11</v>
      </c>
      <c r="D4" s="1" t="s">
        <v>7</v>
      </c>
      <c r="E4" s="2">
        <v>6.999999999999999</v>
      </c>
    </row>
    <row r="5">
      <c r="A5" s="1" t="s">
        <v>12</v>
      </c>
      <c r="B5" s="1" t="str">
        <f>IFERROR(__xludf.DUMMYFUNCTION("AI(""이거 보고 육류, 채소, 곡물, 조미료, 기타 중에 제일 적절한걸로 골라줘"",A5)"),"채소")</f>
        <v>채소</v>
      </c>
      <c r="C5" s="1" t="s">
        <v>13</v>
      </c>
      <c r="D5" s="1" t="s">
        <v>7</v>
      </c>
      <c r="E5" s="2">
        <v>7.249999999999999</v>
      </c>
    </row>
    <row r="6">
      <c r="A6" s="1" t="s">
        <v>14</v>
      </c>
      <c r="B6" s="1" t="str">
        <f>IFERROR(__xludf.DUMMYFUNCTION("AI(""이거 보고 육류, 채소, 곡물, 조미료, 기타 중에 제일 적절한걸로 골라줘"",A6)"),"채소")</f>
        <v>채소</v>
      </c>
      <c r="C6" s="1" t="s">
        <v>15</v>
      </c>
      <c r="D6" s="1" t="s">
        <v>7</v>
      </c>
      <c r="E6" s="2">
        <v>8.75</v>
      </c>
    </row>
    <row r="7">
      <c r="A7" s="1" t="s">
        <v>16</v>
      </c>
      <c r="B7" s="1" t="str">
        <f>IFERROR(__xludf.DUMMYFUNCTION("AI(""이거 보고 육류, 채소, 곡물, 조미료, 기타 중에 제일 적절한걸로 골라줘"",A7)"),"채소")</f>
        <v>채소</v>
      </c>
      <c r="C7" s="1" t="s">
        <v>17</v>
      </c>
      <c r="D7" s="1" t="s">
        <v>7</v>
      </c>
      <c r="E7" s="3">
        <v>5.9</v>
      </c>
    </row>
    <row r="8">
      <c r="A8" s="1" t="s">
        <v>18</v>
      </c>
      <c r="B8" s="1" t="str">
        <f>IFERROR(__xludf.DUMMYFUNCTION("AI(""이거 보고 육류, 채소, 곡물, 조미료, 기타 중에 제일 적절한걸로 골라줘"",A8)"),"채소")</f>
        <v>채소</v>
      </c>
      <c r="C8" s="1" t="s">
        <v>19</v>
      </c>
      <c r="D8" s="1" t="s">
        <v>7</v>
      </c>
      <c r="E8" s="3">
        <v>9.9</v>
      </c>
    </row>
    <row r="9">
      <c r="A9" s="1" t="s">
        <v>20</v>
      </c>
      <c r="B9" s="1" t="str">
        <f>IFERROR(__xludf.DUMMYFUNCTION("AI(""이거 보고 육류, 채소, 곡물, 조미료, 기타 중에 제일 적절한걸로 골라줘"",A9)"),"채소")</f>
        <v>채소</v>
      </c>
      <c r="C9" s="1" t="s">
        <v>21</v>
      </c>
      <c r="D9" s="1" t="s">
        <v>7</v>
      </c>
      <c r="E9" s="3">
        <v>9.9</v>
      </c>
    </row>
    <row r="10">
      <c r="A10" s="1" t="s">
        <v>22</v>
      </c>
      <c r="B10" s="1" t="str">
        <f>IFERROR(__xludf.DUMMYFUNCTION("AI(""이거 보고 육류, 채소, 곡물, 조미료, 기타 중에 제일 적절한걸로 골라줘"",A10)"),"채소")</f>
        <v>채소</v>
      </c>
      <c r="C10" s="1" t="s">
        <v>23</v>
      </c>
      <c r="D10" s="1" t="s">
        <v>7</v>
      </c>
      <c r="E10" s="3">
        <v>12.9</v>
      </c>
    </row>
    <row r="11">
      <c r="A11" s="1" t="s">
        <v>24</v>
      </c>
      <c r="B11" s="1" t="str">
        <f>IFERROR(__xludf.DUMMYFUNCTION("AI(""이거 보고 육류, 채소, 곡물, 조미료, 기타 중에 제일 적절한걸로 골라줘"",A11)"),"채소")</f>
        <v>채소</v>
      </c>
      <c r="C11" s="1" t="s">
        <v>25</v>
      </c>
      <c r="D11" s="1" t="s">
        <v>7</v>
      </c>
      <c r="E11" s="3">
        <v>5.75</v>
      </c>
    </row>
    <row r="12">
      <c r="A12" s="1" t="s">
        <v>26</v>
      </c>
      <c r="B12" s="1" t="str">
        <f>IFERROR(__xludf.DUMMYFUNCTION("AI(""이거 보고 육류, 채소, 곡물, 조미료, 기타 중에 제일 적절한걸로 골라줘"",A12)"),"채소")</f>
        <v>채소</v>
      </c>
      <c r="C12" s="1" t="s">
        <v>27</v>
      </c>
      <c r="D12" s="1" t="s">
        <v>7</v>
      </c>
      <c r="E12" s="3">
        <v>5.2</v>
      </c>
    </row>
    <row r="13">
      <c r="A13" s="1" t="s">
        <v>26</v>
      </c>
      <c r="B13" s="1" t="str">
        <f>IFERROR(__xludf.DUMMYFUNCTION("AI(""이거 보고 육류, 채소, 곡물, 조미료, 기타 중에 제일 적절한걸로 골라줘"",A13)"),"채소")</f>
        <v>채소</v>
      </c>
      <c r="C13" s="1" t="s">
        <v>28</v>
      </c>
      <c r="D13" s="1" t="s">
        <v>7</v>
      </c>
      <c r="E13" s="3">
        <v>2.6</v>
      </c>
    </row>
    <row r="14">
      <c r="A14" s="1" t="s">
        <v>26</v>
      </c>
      <c r="B14" s="1" t="str">
        <f>IFERROR(__xludf.DUMMYFUNCTION("AI(""이거 보고 육류, 채소, 곡물, 조미료, 기타 중에 제일 적절한걸로 골라줘"",A14)"),"채소")</f>
        <v>채소</v>
      </c>
      <c r="C14" s="1" t="s">
        <v>29</v>
      </c>
      <c r="D14" s="1" t="s">
        <v>7</v>
      </c>
      <c r="E14" s="3">
        <v>3.8</v>
      </c>
    </row>
    <row r="15">
      <c r="A15" s="1" t="s">
        <v>30</v>
      </c>
      <c r="B15" s="1" t="str">
        <f>IFERROR(__xludf.DUMMYFUNCTION("AI(""이거 보고 육류, 채소, 곡물, 조미료, 기타 중에 제일 적절한걸로 골라줘"",A15)"),"채소")</f>
        <v>채소</v>
      </c>
      <c r="C15" s="1" t="s">
        <v>31</v>
      </c>
      <c r="D15" s="1" t="s">
        <v>7</v>
      </c>
      <c r="E15" s="3">
        <v>13.07</v>
      </c>
    </row>
    <row r="16">
      <c r="A16" s="1" t="s">
        <v>32</v>
      </c>
      <c r="B16" s="1" t="str">
        <f>IFERROR(__xludf.DUMMYFUNCTION("AI(""이거 보고 육류, 채소, 곡물, 조미료, 기타 중에 제일 적절한걸로 골라줘"",A16)"),"채소")</f>
        <v>채소</v>
      </c>
      <c r="C16" s="1" t="s">
        <v>33</v>
      </c>
      <c r="D16" s="1" t="s">
        <v>7</v>
      </c>
      <c r="E16" s="2">
        <v>11.25</v>
      </c>
    </row>
    <row r="17">
      <c r="A17" s="1" t="s">
        <v>34</v>
      </c>
      <c r="B17" s="1" t="str">
        <f>IFERROR(__xludf.DUMMYFUNCTION("AI(""이거 보고 육류, 채소, 곡물, 조미료, 기타 중에 제일 적절한걸로 골라줘"",A17)"),"채소")</f>
        <v>채소</v>
      </c>
      <c r="C17" s="1" t="s">
        <v>35</v>
      </c>
      <c r="D17" s="1" t="s">
        <v>7</v>
      </c>
      <c r="E17" s="3">
        <v>2.5</v>
      </c>
    </row>
    <row r="18">
      <c r="A18" s="1" t="s">
        <v>36</v>
      </c>
      <c r="B18" s="1" t="str">
        <f>IFERROR(__xludf.DUMMYFUNCTION("AI(""이거 보고 육류, 채소, 곡물, 조미료, 기타 중에 제일 적절한걸로 골라줘"",A18)"),"채소")</f>
        <v>채소</v>
      </c>
      <c r="C18" s="1" t="s">
        <v>37</v>
      </c>
      <c r="D18" s="1" t="s">
        <v>7</v>
      </c>
      <c r="E18" s="3">
        <v>4.9</v>
      </c>
    </row>
    <row r="19">
      <c r="A19" s="1" t="s">
        <v>34</v>
      </c>
      <c r="B19" s="1" t="str">
        <f>IFERROR(__xludf.DUMMYFUNCTION("AI(""이거 보고 육류, 채소, 곡물, 조미료, 기타 중에 제일 적절한걸로 골라줘"",A19)"),"채소")</f>
        <v>채소</v>
      </c>
      <c r="C19" s="1" t="s">
        <v>38</v>
      </c>
      <c r="D19" s="1" t="s">
        <v>7</v>
      </c>
      <c r="E19" s="3">
        <v>2.9</v>
      </c>
    </row>
    <row r="20">
      <c r="A20" s="1" t="s">
        <v>39</v>
      </c>
      <c r="B20" s="1" t="str">
        <f>IFERROR(__xludf.DUMMYFUNCTION("AI(""이거 보고 육류, 채소, 곡물, 조미료, 기타 중에 제일 적절한걸로 골라줘"",A20)"),"채소")</f>
        <v>채소</v>
      </c>
      <c r="C20" s="1" t="s">
        <v>40</v>
      </c>
      <c r="D20" s="1" t="s">
        <v>7</v>
      </c>
      <c r="E20" s="2">
        <v>5.0</v>
      </c>
    </row>
    <row r="21">
      <c r="A21" s="1" t="s">
        <v>41</v>
      </c>
      <c r="B21" s="1" t="str">
        <f>IFERROR(__xludf.DUMMYFUNCTION("AI(""이거 보고 육류, 채소, 곡물, 조미료, 기타 중에 제일 적절한걸로 골라줘"",A21)"),"기타")</f>
        <v>기타</v>
      </c>
      <c r="C21" s="1" t="s">
        <v>42</v>
      </c>
      <c r="D21" s="1" t="s">
        <v>7</v>
      </c>
      <c r="E21" s="3">
        <v>12.1</v>
      </c>
    </row>
    <row r="22">
      <c r="A22" s="1" t="s">
        <v>41</v>
      </c>
      <c r="B22" s="1" t="str">
        <f>IFERROR(__xludf.DUMMYFUNCTION("AI(""이거 보고 육류, 채소, 곡물, 조미료, 기타 중에 제일 적절한걸로 골라줘"",A22)"),"기타")</f>
        <v>기타</v>
      </c>
      <c r="C22" s="1" t="s">
        <v>43</v>
      </c>
      <c r="D22" s="1" t="s">
        <v>7</v>
      </c>
      <c r="E22" s="3">
        <v>8.0</v>
      </c>
    </row>
    <row r="23">
      <c r="A23" s="1" t="s">
        <v>41</v>
      </c>
      <c r="B23" s="1" t="str">
        <f>IFERROR(__xludf.DUMMYFUNCTION("AI(""이거 보고 육류, 채소, 곡물, 조미료, 기타 중에 제일 적절한걸로 골라줘"",A23)"),"기타")</f>
        <v>기타</v>
      </c>
      <c r="C23" s="1" t="s">
        <v>44</v>
      </c>
      <c r="D23" s="1" t="s">
        <v>7</v>
      </c>
      <c r="E23" s="3">
        <v>8.3</v>
      </c>
    </row>
    <row r="24">
      <c r="A24" s="1" t="s">
        <v>41</v>
      </c>
      <c r="B24" s="1" t="str">
        <f>IFERROR(__xludf.DUMMYFUNCTION("AI(""이거 보고 육류, 채소, 곡물, 조미료, 기타 중에 제일 적절한걸로 골라줘"",A24)"),"기타")</f>
        <v>기타</v>
      </c>
      <c r="C24" s="1" t="s">
        <v>45</v>
      </c>
      <c r="D24" s="1" t="s">
        <v>7</v>
      </c>
      <c r="E24" s="3">
        <v>10.6</v>
      </c>
    </row>
    <row r="25">
      <c r="A25" s="1" t="s">
        <v>41</v>
      </c>
      <c r="B25" s="1" t="str">
        <f>IFERROR(__xludf.DUMMYFUNCTION("AI(""이거 보고 육류, 채소, 곡물, 조미료, 기타 중에 제일 적절한걸로 골라줘"",A25)"),"기타")</f>
        <v>기타</v>
      </c>
      <c r="C25" s="1" t="s">
        <v>46</v>
      </c>
      <c r="D25" s="1" t="s">
        <v>7</v>
      </c>
      <c r="E25" s="3">
        <v>11.1</v>
      </c>
    </row>
    <row r="26">
      <c r="A26" s="1" t="s">
        <v>41</v>
      </c>
      <c r="B26" s="1" t="str">
        <f>IFERROR(__xludf.DUMMYFUNCTION("AI(""이거 보고 육류, 채소, 곡물, 조미료, 기타 중에 제일 적절한걸로 골라줘"",A26)"),"기타")</f>
        <v>기타</v>
      </c>
      <c r="C26" s="1" t="s">
        <v>47</v>
      </c>
      <c r="D26" s="1" t="s">
        <v>7</v>
      </c>
      <c r="E26" s="3">
        <v>12.4</v>
      </c>
    </row>
    <row r="27">
      <c r="A27" s="1" t="s">
        <v>41</v>
      </c>
      <c r="B27" s="1" t="str">
        <f>IFERROR(__xludf.DUMMYFUNCTION("AI(""이거 보고 육류, 채소, 곡물, 조미료, 기타 중에 제일 적절한걸로 골라줘"",A27)"),"기타")</f>
        <v>기타</v>
      </c>
      <c r="C27" s="1" t="s">
        <v>48</v>
      </c>
      <c r="D27" s="1" t="s">
        <v>7</v>
      </c>
      <c r="E27" s="3">
        <v>9.3</v>
      </c>
    </row>
    <row r="28">
      <c r="A28" s="1" t="s">
        <v>41</v>
      </c>
      <c r="B28" s="1" t="str">
        <f>IFERROR(__xludf.DUMMYFUNCTION("AI(""이거 보고 육류, 채소, 곡물, 조미료, 기타 중에 제일 적절한걸로 골라줘"",A28)"),"기타")</f>
        <v>기타</v>
      </c>
      <c r="C28" s="1" t="s">
        <v>49</v>
      </c>
      <c r="D28" s="1" t="s">
        <v>7</v>
      </c>
      <c r="E28" s="3">
        <v>7.1</v>
      </c>
    </row>
    <row r="29">
      <c r="A29" s="1" t="s">
        <v>50</v>
      </c>
      <c r="B29" s="1" t="str">
        <f>IFERROR(__xludf.DUMMYFUNCTION("AI(""이거 보고 육류, 채소, 곡물, 조미료, 기타 중에 제일 적절한걸로 골라줘"",A29)"),"육류")</f>
        <v>육류</v>
      </c>
      <c r="C29" s="1" t="s">
        <v>51</v>
      </c>
      <c r="D29" s="1" t="s">
        <v>7</v>
      </c>
      <c r="E29" s="3">
        <v>4.8</v>
      </c>
    </row>
    <row r="30">
      <c r="A30" s="1" t="s">
        <v>52</v>
      </c>
      <c r="B30" s="1" t="str">
        <f>IFERROR(__xludf.DUMMYFUNCTION("AI(""이거 보고 육류, 채소, 곡물, 조미료, 기타 중에 제일 적절한걸로 골라줘"",A30)"),"기타")</f>
        <v>기타</v>
      </c>
      <c r="C30" s="1" t="s">
        <v>53</v>
      </c>
      <c r="D30" s="1" t="s">
        <v>7</v>
      </c>
      <c r="E30" s="3">
        <v>31.0</v>
      </c>
    </row>
    <row r="31">
      <c r="A31" s="1" t="s">
        <v>54</v>
      </c>
      <c r="B31" s="1" t="str">
        <f>IFERROR(__xludf.DUMMYFUNCTION("AI(""이거 보고 육류, 채소, 곡물, 조미료, 기타 중에 제일 적절한걸로 골라줘"",A31)"),"기타")</f>
        <v>기타</v>
      </c>
      <c r="C31" s="1" t="s">
        <v>55</v>
      </c>
      <c r="D31" s="1" t="s">
        <v>7</v>
      </c>
      <c r="E31" s="3">
        <v>18.5</v>
      </c>
    </row>
    <row r="32">
      <c r="A32" s="1" t="s">
        <v>56</v>
      </c>
      <c r="B32" s="1" t="str">
        <f>IFERROR(__xludf.DUMMYFUNCTION("AI(""이거 보고 육류, 채소, 곡물, 조미료, 기타 중에 제일 적절한걸로 골라줘"",A32)"),"기타")</f>
        <v>기타</v>
      </c>
      <c r="C32" s="1" t="s">
        <v>57</v>
      </c>
      <c r="D32" s="1" t="s">
        <v>7</v>
      </c>
      <c r="E32" s="3">
        <v>3.9</v>
      </c>
    </row>
    <row r="33">
      <c r="A33" s="1" t="s">
        <v>56</v>
      </c>
      <c r="B33" s="1" t="str">
        <f>IFERROR(__xludf.DUMMYFUNCTION("AI(""이거 보고 육류, 채소, 곡물, 조미료, 기타 중에 제일 적절한걸로 골라줘"",A33)"),"기타")</f>
        <v>기타</v>
      </c>
      <c r="C33" s="1" t="s">
        <v>58</v>
      </c>
      <c r="D33" s="1" t="s">
        <v>7</v>
      </c>
      <c r="E33" s="3">
        <v>3.13</v>
      </c>
    </row>
    <row r="34">
      <c r="A34" s="1" t="s">
        <v>56</v>
      </c>
      <c r="B34" s="1" t="str">
        <f>IFERROR(__xludf.DUMMYFUNCTION("AI(""이거 보고 육류, 채소, 곡물, 조미료, 기타 중에 제일 적절한걸로 골라줘"",A34)"),"기타")</f>
        <v>기타</v>
      </c>
      <c r="C34" s="1" t="s">
        <v>59</v>
      </c>
      <c r="D34" s="1" t="s">
        <v>7</v>
      </c>
      <c r="E34" s="3">
        <v>2.25</v>
      </c>
    </row>
    <row r="35">
      <c r="A35" s="1" t="s">
        <v>56</v>
      </c>
      <c r="B35" s="1" t="str">
        <f>IFERROR(__xludf.DUMMYFUNCTION("AI(""이거 보고 육류, 채소, 곡물, 조미료, 기타 중에 제일 적절한걸로 골라줘"",A35)"),"기타")</f>
        <v>기타</v>
      </c>
      <c r="C35" s="1" t="s">
        <v>60</v>
      </c>
      <c r="D35" s="1" t="s">
        <v>7</v>
      </c>
      <c r="E35" s="3">
        <v>1.6</v>
      </c>
    </row>
    <row r="36">
      <c r="A36" s="1" t="s">
        <v>61</v>
      </c>
      <c r="B36" s="1" t="str">
        <f>IFERROR(__xludf.DUMMYFUNCTION("AI(""이거 보고 육류, 채소, 곡물, 조미료, 기타 중에 제일 적절한걸로 골라줘"",A36)"),"기타")</f>
        <v>기타</v>
      </c>
      <c r="C36" s="1" t="s">
        <v>62</v>
      </c>
      <c r="D36" s="1" t="s">
        <v>7</v>
      </c>
      <c r="E36" s="3">
        <v>3.1</v>
      </c>
    </row>
    <row r="37">
      <c r="A37" s="1" t="s">
        <v>61</v>
      </c>
      <c r="B37" s="1" t="str">
        <f>IFERROR(__xludf.DUMMYFUNCTION("AI(""이거 보고 육류, 채소, 곡물, 조미료, 기타 중에 제일 적절한걸로 골라줘"",A37)"),"조미료")</f>
        <v>조미료</v>
      </c>
      <c r="C37" s="1" t="s">
        <v>63</v>
      </c>
      <c r="D37" s="1" t="s">
        <v>7</v>
      </c>
      <c r="E37" s="3">
        <v>3.1</v>
      </c>
    </row>
    <row r="38">
      <c r="A38" s="1" t="s">
        <v>64</v>
      </c>
      <c r="B38" s="1" t="str">
        <f>IFERROR(__xludf.DUMMYFUNCTION("AI(""이거 보고 육류, 채소, 곡물, 조미료, 기타 중에 제일 적절한걸로 골라줘"",A38)"),"곡물")</f>
        <v>곡물</v>
      </c>
      <c r="C38" s="1" t="s">
        <v>65</v>
      </c>
      <c r="D38" s="1" t="s">
        <v>7</v>
      </c>
      <c r="E38" s="3">
        <v>1.9</v>
      </c>
    </row>
    <row r="39">
      <c r="A39" s="1" t="s">
        <v>8</v>
      </c>
      <c r="B39" s="1" t="str">
        <f>IFERROR(__xludf.DUMMYFUNCTION("AI(""이거 보고 육류, 채소, 곡물, 조미료, 기타 중에 제일 적절한걸로 골라줘"",A39)"),"채소")</f>
        <v>채소</v>
      </c>
      <c r="C39" s="1" t="s">
        <v>9</v>
      </c>
      <c r="D39" s="1" t="s">
        <v>66</v>
      </c>
      <c r="E39" s="2">
        <v>7.249999999999999</v>
      </c>
    </row>
    <row r="40">
      <c r="A40" s="1" t="s">
        <v>10</v>
      </c>
      <c r="B40" s="1" t="str">
        <f>IFERROR(__xludf.DUMMYFUNCTION("AI(""이거 보고 육류, 채소, 곡물, 조미료, 기타 중에 제일 적절한걸로 골라줘"",A40)"),"채소")</f>
        <v>채소</v>
      </c>
      <c r="C40" s="1" t="s">
        <v>11</v>
      </c>
      <c r="D40" s="1" t="s">
        <v>66</v>
      </c>
      <c r="E40" s="2">
        <v>7.5</v>
      </c>
    </row>
    <row r="41">
      <c r="A41" s="1" t="s">
        <v>10</v>
      </c>
      <c r="B41" s="1" t="str">
        <f>IFERROR(__xludf.DUMMYFUNCTION("AI(""이거 보고 육류, 채소, 곡물, 조미료, 기타 중에 제일 적절한걸로 골라줘"",A41)"),"채소")</f>
        <v>채소</v>
      </c>
      <c r="C41" s="1" t="s">
        <v>67</v>
      </c>
      <c r="D41" s="1" t="s">
        <v>66</v>
      </c>
      <c r="E41" s="2">
        <v>12.5</v>
      </c>
    </row>
    <row r="42">
      <c r="A42" s="1" t="s">
        <v>12</v>
      </c>
      <c r="B42" s="1" t="str">
        <f>IFERROR(__xludf.DUMMYFUNCTION("AI(""이거 보고 육류, 채소, 곡물, 조미료, 기타 중에 제일 적절한걸로 골라줘"",A42)"),"채소")</f>
        <v>채소</v>
      </c>
      <c r="C42" s="1" t="s">
        <v>68</v>
      </c>
      <c r="D42" s="1" t="s">
        <v>66</v>
      </c>
      <c r="E42" s="2">
        <v>8.75</v>
      </c>
    </row>
    <row r="43">
      <c r="A43" s="1" t="s">
        <v>12</v>
      </c>
      <c r="B43" s="1" t="str">
        <f>IFERROR(__xludf.DUMMYFUNCTION("AI(""이거 보고 육류, 채소, 곡물, 조미료, 기타 중에 제일 적절한걸로 골라줘"",A43)"),"채소")</f>
        <v>채소</v>
      </c>
      <c r="C43" s="1" t="s">
        <v>69</v>
      </c>
      <c r="D43" s="1" t="s">
        <v>66</v>
      </c>
      <c r="E43" s="2">
        <v>6.25</v>
      </c>
    </row>
    <row r="44">
      <c r="A44" s="1" t="s">
        <v>14</v>
      </c>
      <c r="B44" s="1" t="str">
        <f>IFERROR(__xludf.DUMMYFUNCTION("AI(""이거 보고 육류, 채소, 곡물, 조미료, 기타 중에 제일 적절한걸로 골라줘"",A44)"),"채소")</f>
        <v>채소</v>
      </c>
      <c r="C44" s="1" t="s">
        <v>15</v>
      </c>
      <c r="D44" s="1" t="s">
        <v>66</v>
      </c>
      <c r="E44" s="2">
        <v>8.75</v>
      </c>
    </row>
    <row r="45">
      <c r="A45" s="1" t="s">
        <v>26</v>
      </c>
      <c r="B45" s="1" t="str">
        <f>IFERROR(__xludf.DUMMYFUNCTION("AI(""이거 보고 육류, 채소, 곡물, 조미료, 기타 중에 제일 적절한걸로 골라줘"",A45)"),"채소")</f>
        <v>채소</v>
      </c>
      <c r="C45" s="1" t="s">
        <v>28</v>
      </c>
      <c r="D45" s="1" t="s">
        <v>66</v>
      </c>
      <c r="E45" s="3">
        <v>2.5</v>
      </c>
    </row>
    <row r="46">
      <c r="A46" s="1" t="s">
        <v>26</v>
      </c>
      <c r="B46" s="1" t="str">
        <f>IFERROR(__xludf.DUMMYFUNCTION("AI(""이거 보고 육류, 채소, 곡물, 조미료, 기타 중에 제일 적절한걸로 골라줘"",A46)"),"채소")</f>
        <v>채소</v>
      </c>
      <c r="C46" s="1" t="s">
        <v>70</v>
      </c>
      <c r="D46" s="1" t="s">
        <v>66</v>
      </c>
      <c r="E46" s="3">
        <v>3.6</v>
      </c>
    </row>
    <row r="47">
      <c r="A47" s="1" t="s">
        <v>26</v>
      </c>
      <c r="B47" s="1" t="str">
        <f>IFERROR(__xludf.DUMMYFUNCTION("AI(""이거 보고 육류, 채소, 곡물, 조미료, 기타 중에 제일 적절한걸로 골라줘"",A47)"),"채소")</f>
        <v>채소</v>
      </c>
      <c r="C47" s="1" t="s">
        <v>71</v>
      </c>
      <c r="D47" s="1" t="s">
        <v>66</v>
      </c>
      <c r="E47" s="3">
        <v>2.4</v>
      </c>
    </row>
    <row r="48">
      <c r="A48" s="1" t="s">
        <v>32</v>
      </c>
      <c r="B48" s="1" t="str">
        <f>IFERROR(__xludf.DUMMYFUNCTION("AI(""이거 보고 육류, 채소, 곡물, 조미료, 기타 중에 제일 적절한걸로 골라줘"",A48)"),"채소")</f>
        <v>채소</v>
      </c>
      <c r="C48" s="1" t="s">
        <v>72</v>
      </c>
      <c r="D48" s="1" t="s">
        <v>66</v>
      </c>
      <c r="E48" s="2">
        <v>34.5</v>
      </c>
    </row>
    <row r="49">
      <c r="A49" s="1" t="s">
        <v>39</v>
      </c>
      <c r="B49" s="1" t="str">
        <f>IFERROR(__xludf.DUMMYFUNCTION("AI(""이거 보고 육류, 채소, 곡물, 조미료, 기타 중에 제일 적절한걸로 골라줘"",A49)"),"채소")</f>
        <v>채소</v>
      </c>
      <c r="C49" s="1" t="s">
        <v>73</v>
      </c>
      <c r="D49" s="1" t="s">
        <v>66</v>
      </c>
      <c r="E49" s="2">
        <v>14.499999999999998</v>
      </c>
    </row>
    <row r="50">
      <c r="A50" s="1" t="s">
        <v>39</v>
      </c>
      <c r="B50" s="1" t="str">
        <f>IFERROR(__xludf.DUMMYFUNCTION("AI(""이거 보고 육류, 채소, 곡물, 조미료, 기타 중에 제일 적절한걸로 골라줘"",A50)"),"채소")</f>
        <v>채소</v>
      </c>
      <c r="C50" s="1" t="s">
        <v>74</v>
      </c>
      <c r="D50" s="1" t="s">
        <v>66</v>
      </c>
      <c r="E50" s="2">
        <v>12.5</v>
      </c>
    </row>
    <row r="51">
      <c r="A51" s="1" t="s">
        <v>34</v>
      </c>
      <c r="B51" s="1" t="str">
        <f>IFERROR(__xludf.DUMMYFUNCTION("AI(""이거 보고 육류, 채소, 곡물, 조미료, 기타 중에 제일 적절한걸로 골라줘"",A51)"),"채소")</f>
        <v>채소</v>
      </c>
      <c r="C51" s="1" t="s">
        <v>75</v>
      </c>
      <c r="D51" s="1" t="s">
        <v>66</v>
      </c>
      <c r="E51" s="3">
        <v>3.9</v>
      </c>
    </row>
    <row r="52">
      <c r="A52" s="1" t="s">
        <v>34</v>
      </c>
      <c r="B52" s="1" t="str">
        <f>IFERROR(__xludf.DUMMYFUNCTION("AI(""이거 보고 육류, 채소, 곡물, 조미료, 기타 중에 제일 적절한걸로 골라줘"",A52)"),"채소")</f>
        <v>채소</v>
      </c>
      <c r="C52" s="1" t="s">
        <v>76</v>
      </c>
      <c r="D52" s="1" t="s">
        <v>66</v>
      </c>
      <c r="E52" s="3">
        <v>1.8</v>
      </c>
    </row>
    <row r="53">
      <c r="A53" s="1" t="s">
        <v>34</v>
      </c>
      <c r="B53" s="1" t="str">
        <f>IFERROR(__xludf.DUMMYFUNCTION("AI(""이거 보고 육류, 채소, 곡물, 조미료, 기타 중에 제일 적절한걸로 골라줘"",A53)"),"채소")</f>
        <v>채소</v>
      </c>
      <c r="C53" s="1" t="s">
        <v>77</v>
      </c>
      <c r="D53" s="1" t="s">
        <v>66</v>
      </c>
      <c r="E53" s="3">
        <v>2.75</v>
      </c>
    </row>
    <row r="54">
      <c r="A54" s="1" t="s">
        <v>24</v>
      </c>
      <c r="B54" s="1" t="str">
        <f>IFERROR(__xludf.DUMMYFUNCTION("AI(""이거 보고 육류, 채소, 곡물, 조미료, 기타 중에 제일 적절한걸로 골라줘"",A54)"),"채소")</f>
        <v>채소</v>
      </c>
      <c r="C54" s="1" t="s">
        <v>78</v>
      </c>
      <c r="D54" s="1" t="s">
        <v>66</v>
      </c>
      <c r="E54" s="3">
        <v>5.3</v>
      </c>
    </row>
    <row r="55">
      <c r="A55" s="1" t="s">
        <v>24</v>
      </c>
      <c r="B55" s="1" t="str">
        <f>IFERROR(__xludf.DUMMYFUNCTION("AI(""이거 보고 육류, 채소, 곡물, 조미료, 기타 중에 제일 적절한걸로 골라줘"",A55)"),"=AI(""이거 보고 육류, 채소, 곡물, 조미료, 기타 중에 제일 적절한걸로 골라줘"",A55)")</f>
        <v>=AI("이거 보고 육류, 채소, 곡물, 조미료, 기타 중에 제일 적절한걸로 골라줘",A55)</v>
      </c>
      <c r="C55" s="1" t="s">
        <v>79</v>
      </c>
      <c r="D55" s="1" t="s">
        <v>66</v>
      </c>
      <c r="E55" s="3">
        <v>5.3</v>
      </c>
    </row>
    <row r="56">
      <c r="A56" s="1" t="s">
        <v>24</v>
      </c>
      <c r="B56" s="1" t="str">
        <f>IFERROR(__xludf.DUMMYFUNCTION("AI(""이거 보고 육류, 채소, 곡물, 조미료, 기타 중에 제일 적절한걸로 골라줘"",A56)"),"=AI(""이거 보고 육류, 채소, 곡물, 조미료, 기타 중에 제일 적절한걸로 골라줘"",A56)")</f>
        <v>=AI("이거 보고 육류, 채소, 곡물, 조미료, 기타 중에 제일 적절한걸로 골라줘",A56)</v>
      </c>
      <c r="C56" s="1" t="s">
        <v>80</v>
      </c>
      <c r="D56" s="1" t="s">
        <v>66</v>
      </c>
      <c r="E56" s="3">
        <v>4.9</v>
      </c>
    </row>
    <row r="57">
      <c r="A57" s="1" t="s">
        <v>61</v>
      </c>
      <c r="B57" s="1" t="str">
        <f>IFERROR(__xludf.DUMMYFUNCTION("AI(""이거 보고 육류, 채소, 곡물, 조미료, 기타 중에 제일 적절한걸로 골라줘"",A57)"),"기타")</f>
        <v>기타</v>
      </c>
      <c r="C57" s="1" t="s">
        <v>81</v>
      </c>
      <c r="D57" s="1" t="s">
        <v>66</v>
      </c>
      <c r="E57" s="3">
        <v>3.8</v>
      </c>
    </row>
    <row r="58">
      <c r="A58" s="1" t="s">
        <v>50</v>
      </c>
      <c r="B58" s="1" t="str">
        <f>IFERROR(__xludf.DUMMYFUNCTION("AI(""이거 보고 육류, 채소, 곡물, 조미료, 기타 중에 제일 적절한걸로 골라줘"",A58)"),"육류")</f>
        <v>육류</v>
      </c>
      <c r="C58" s="1" t="s">
        <v>82</v>
      </c>
      <c r="D58" s="1" t="s">
        <v>66</v>
      </c>
      <c r="E58" s="3">
        <v>4.8</v>
      </c>
    </row>
    <row r="59">
      <c r="A59" s="1" t="s">
        <v>41</v>
      </c>
      <c r="B59" s="1" t="str">
        <f>IFERROR(__xludf.DUMMYFUNCTION("AI(""이거 보고 육류, 채소, 곡물, 조미료, 기타 중에 제일 적절한걸로 골라줘"",A59)"),"기타")</f>
        <v>기타</v>
      </c>
      <c r="C59" s="1" t="s">
        <v>83</v>
      </c>
      <c r="D59" s="1" t="s">
        <v>66</v>
      </c>
      <c r="E59" s="3">
        <v>5.7</v>
      </c>
    </row>
    <row r="60">
      <c r="A60" s="1" t="s">
        <v>41</v>
      </c>
      <c r="B60" s="1" t="str">
        <f>IFERROR(__xludf.DUMMYFUNCTION("AI(""이거 보고 육류, 채소, 곡물, 조미료, 기타 중에 제일 적절한걸로 골라줘"",A60)"),"기타")</f>
        <v>기타</v>
      </c>
      <c r="C60" s="1" t="s">
        <v>84</v>
      </c>
      <c r="D60" s="1" t="s">
        <v>66</v>
      </c>
      <c r="E60" s="3">
        <v>10.3</v>
      </c>
    </row>
    <row r="61">
      <c r="A61" s="1" t="s">
        <v>41</v>
      </c>
      <c r="B61" s="1" t="str">
        <f>IFERROR(__xludf.DUMMYFUNCTION("AI(""이거 보고 육류, 채소, 곡물, 조미료, 기타 중에 제일 적절한걸로 골라줘"",A61)"),"기타")</f>
        <v>기타</v>
      </c>
      <c r="C61" s="1" t="s">
        <v>85</v>
      </c>
      <c r="D61" s="1" t="s">
        <v>66</v>
      </c>
      <c r="E61" s="3">
        <v>9.9</v>
      </c>
    </row>
    <row r="62">
      <c r="A62" s="1" t="s">
        <v>41</v>
      </c>
      <c r="B62" s="1" t="str">
        <f>IFERROR(__xludf.DUMMYFUNCTION("AI(""이거 보고 육류, 채소, 곡물, 조미료, 기타 중에 제일 적절한걸로 골라줘"",A62)"),"기타")</f>
        <v>기타</v>
      </c>
      <c r="C62" s="1" t="s">
        <v>86</v>
      </c>
      <c r="D62" s="1" t="s">
        <v>66</v>
      </c>
      <c r="E62" s="3">
        <v>9.3</v>
      </c>
    </row>
    <row r="63">
      <c r="A63" s="1" t="s">
        <v>41</v>
      </c>
      <c r="B63" s="1" t="str">
        <f>IFERROR(__xludf.DUMMYFUNCTION("AI(""이거 보고 육류, 채소, 곡물, 조미료, 기타 중에 제일 적절한걸로 골라줘"",A63)"),"기타")</f>
        <v>기타</v>
      </c>
      <c r="C63" s="1" t="s">
        <v>46</v>
      </c>
      <c r="D63" s="1" t="s">
        <v>66</v>
      </c>
      <c r="E63" s="3">
        <v>12.6</v>
      </c>
    </row>
    <row r="64">
      <c r="A64" s="1" t="s">
        <v>64</v>
      </c>
      <c r="B64" s="1" t="str">
        <f>IFERROR(__xludf.DUMMYFUNCTION("AI(""이거 보고 육류, 채소, 곡물, 조미료, 기타 중에 제일 적절한걸로 골라줘"",A64)"),"곡물")</f>
        <v>곡물</v>
      </c>
      <c r="C64" s="1" t="s">
        <v>87</v>
      </c>
      <c r="D64" s="1" t="s">
        <v>88</v>
      </c>
      <c r="E64" s="3">
        <v>5.2</v>
      </c>
    </row>
    <row r="65">
      <c r="A65" s="1" t="s">
        <v>64</v>
      </c>
      <c r="B65" s="1" t="str">
        <f>IFERROR(__xludf.DUMMYFUNCTION("AI(""이거 보고 육류, 채소, 곡물, 조미료, 기타 중에 제일 적절한걸로 골라줘"",A65)"),"곡물")</f>
        <v>곡물</v>
      </c>
      <c r="C65" s="1" t="s">
        <v>89</v>
      </c>
      <c r="D65" s="1" t="s">
        <v>88</v>
      </c>
      <c r="E65" s="3">
        <v>5.3</v>
      </c>
    </row>
    <row r="66">
      <c r="A66" s="1" t="s">
        <v>64</v>
      </c>
      <c r="B66" s="1" t="str">
        <f>IFERROR(__xludf.DUMMYFUNCTION("AI(""이거 보고 육류, 채소, 곡물, 조미료, 기타 중에 제일 적절한걸로 골라줘"",A66)"),"곡물")</f>
        <v>곡물</v>
      </c>
      <c r="C66" s="1" t="s">
        <v>90</v>
      </c>
      <c r="D66" s="1" t="s">
        <v>88</v>
      </c>
      <c r="E66" s="3">
        <v>4.2</v>
      </c>
    </row>
    <row r="67">
      <c r="A67" s="1" t="s">
        <v>64</v>
      </c>
      <c r="B67" s="1" t="str">
        <f>IFERROR(__xludf.DUMMYFUNCTION("AI(""이거 보고 육류, 채소, 곡물, 조미료, 기타 중에 제일 적절한걸로 골라줘"",A67)"),"곡물")</f>
        <v>곡물</v>
      </c>
      <c r="C67" s="1" t="s">
        <v>91</v>
      </c>
      <c r="D67" s="1" t="s">
        <v>88</v>
      </c>
      <c r="E67" s="3">
        <v>2.05</v>
      </c>
    </row>
    <row r="68">
      <c r="A68" s="1" t="s">
        <v>92</v>
      </c>
      <c r="B68" s="1" t="str">
        <f>IFERROR(__xludf.DUMMYFUNCTION("AI(""이거 보고 육류, 채소, 곡물, 조미료, 기타 중에 제일 적절한걸로 골라줘"",A68)"),"조미료")</f>
        <v>조미료</v>
      </c>
      <c r="C68" s="1" t="s">
        <v>93</v>
      </c>
      <c r="D68" s="1" t="s">
        <v>88</v>
      </c>
      <c r="E68" s="3">
        <v>6.0</v>
      </c>
    </row>
    <row r="69">
      <c r="A69" s="1" t="s">
        <v>92</v>
      </c>
      <c r="B69" s="1" t="str">
        <f>IFERROR(__xludf.DUMMYFUNCTION("AI(""이거 보고 육류, 채소, 곡물, 조미료, 기타 중에 제일 적절한걸로 골라줘"",A69)"),"조미료")</f>
        <v>조미료</v>
      </c>
      <c r="C69" s="1" t="s">
        <v>94</v>
      </c>
      <c r="D69" s="1" t="s">
        <v>88</v>
      </c>
      <c r="E69" s="3">
        <v>7.9</v>
      </c>
    </row>
    <row r="70">
      <c r="A70" s="1" t="s">
        <v>95</v>
      </c>
      <c r="B70" s="1" t="str">
        <f>IFERROR(__xludf.DUMMYFUNCTION("AI(""이거 보고 육류, 채소, 곡물, 조미료, 기타 중에 제일 적절한걸로 골라줘"",A70)"),"조미료")</f>
        <v>조미료</v>
      </c>
      <c r="C70" s="1" t="s">
        <v>96</v>
      </c>
      <c r="D70" s="1" t="s">
        <v>88</v>
      </c>
      <c r="E70" s="3">
        <v>8.0</v>
      </c>
    </row>
    <row r="71">
      <c r="A71" s="1" t="s">
        <v>95</v>
      </c>
      <c r="B71" s="1" t="str">
        <f>IFERROR(__xludf.DUMMYFUNCTION("AI(""이거 보고 육류, 채소, 곡물, 조미료, 기타 중에 제일 적절한걸로 골라줘"",A71)"),"조미료")</f>
        <v>조미료</v>
      </c>
      <c r="C71" s="1" t="s">
        <v>97</v>
      </c>
      <c r="D71" s="1" t="s">
        <v>88</v>
      </c>
      <c r="E71" s="3">
        <v>8.4</v>
      </c>
    </row>
    <row r="72">
      <c r="A72" s="1" t="s">
        <v>98</v>
      </c>
      <c r="B72" s="1" t="str">
        <f>IFERROR(__xludf.DUMMYFUNCTION("AI(""이거 보고 육류, 채소, 곡물, 조미료, 기타 중에 제일 적절한걸로 골라줘"",A72)"),"조미료")</f>
        <v>조미료</v>
      </c>
      <c r="C72" s="1" t="s">
        <v>99</v>
      </c>
      <c r="D72" s="1" t="s">
        <v>88</v>
      </c>
      <c r="E72" s="3">
        <v>3.7777777777777777</v>
      </c>
    </row>
    <row r="73">
      <c r="A73" s="1" t="s">
        <v>98</v>
      </c>
      <c r="B73" s="1" t="str">
        <f>IFERROR(__xludf.DUMMYFUNCTION("AI(""이거 보고 육류, 채소, 곡물, 조미료, 기타 중에 제일 적절한걸로 골라줘"",A73)"),"조미료")</f>
        <v>조미료</v>
      </c>
      <c r="C73" s="1" t="s">
        <v>100</v>
      </c>
      <c r="D73" s="1" t="s">
        <v>88</v>
      </c>
      <c r="E73" s="3">
        <v>3.3888888888888884</v>
      </c>
    </row>
    <row r="74">
      <c r="A74" s="1" t="s">
        <v>98</v>
      </c>
      <c r="B74" s="1" t="str">
        <f>IFERROR(__xludf.DUMMYFUNCTION("AI(""이거 보고 육류, 채소, 곡물, 조미료, 기타 중에 제일 적절한걸로 골라줘"",A74)"),"조미료")</f>
        <v>조미료</v>
      </c>
      <c r="C74" s="1" t="s">
        <v>101</v>
      </c>
      <c r="D74" s="1" t="s">
        <v>88</v>
      </c>
      <c r="E74" s="3">
        <v>2.7777777777777777</v>
      </c>
    </row>
    <row r="75">
      <c r="A75" s="1" t="s">
        <v>98</v>
      </c>
      <c r="B75" s="1" t="str">
        <f>IFERROR(__xludf.DUMMYFUNCTION("AI(""이거 보고 육류, 채소, 곡물, 조미료, 기타 중에 제일 적절한걸로 골라줘"",A75)"),"조미료")</f>
        <v>조미료</v>
      </c>
      <c r="C75" s="1" t="s">
        <v>102</v>
      </c>
      <c r="D75" s="1" t="s">
        <v>88</v>
      </c>
      <c r="E75" s="3">
        <v>5.0</v>
      </c>
    </row>
    <row r="76">
      <c r="A76" s="1" t="s">
        <v>98</v>
      </c>
      <c r="B76" s="1" t="str">
        <f>IFERROR(__xludf.DUMMYFUNCTION("AI(""이거 보고 육류, 채소, 곡물, 조미료, 기타 중에 제일 적절한걸로 골라줘"",A76)"),"조미료")</f>
        <v>조미료</v>
      </c>
      <c r="C76" s="1" t="s">
        <v>103</v>
      </c>
      <c r="D76" s="1" t="s">
        <v>88</v>
      </c>
      <c r="E76" s="3">
        <v>4.0</v>
      </c>
    </row>
    <row r="77">
      <c r="A77" s="1" t="s">
        <v>98</v>
      </c>
      <c r="B77" s="1" t="str">
        <f>IFERROR(__xludf.DUMMYFUNCTION("AI(""이거 보고 육류, 채소, 곡물, 조미료, 기타 중에 제일 적절한걸로 골라줘"",A77)"),"조미료")</f>
        <v>조미료</v>
      </c>
      <c r="C77" s="1" t="s">
        <v>104</v>
      </c>
      <c r="D77" s="1" t="s">
        <v>88</v>
      </c>
      <c r="E77" s="3">
        <v>9.2</v>
      </c>
    </row>
    <row r="78">
      <c r="A78" s="1" t="s">
        <v>98</v>
      </c>
      <c r="B78" s="1" t="str">
        <f>IFERROR(__xludf.DUMMYFUNCTION("AI(""이거 보고 육류, 채소, 곡물, 조미료, 기타 중에 제일 적절한걸로 골라줘"",A78)"),"조미료")</f>
        <v>조미료</v>
      </c>
      <c r="C78" s="1" t="s">
        <v>105</v>
      </c>
      <c r="D78" s="1" t="s">
        <v>88</v>
      </c>
      <c r="E78" s="3">
        <v>7.444444444444445</v>
      </c>
    </row>
    <row r="79">
      <c r="A79" s="1" t="s">
        <v>98</v>
      </c>
      <c r="B79" s="1" t="str">
        <f>IFERROR(__xludf.DUMMYFUNCTION("AI(""이거 보고 육류, 채소, 곡물, 조미료, 기타 중에 제일 적절한걸로 골라줘"",A79)"),"조미료")</f>
        <v>조미료</v>
      </c>
      <c r="C79" s="1" t="s">
        <v>106</v>
      </c>
      <c r="D79" s="1" t="s">
        <v>88</v>
      </c>
      <c r="E79" s="3">
        <v>6.388888888888888</v>
      </c>
    </row>
    <row r="80">
      <c r="A80" s="1" t="s">
        <v>107</v>
      </c>
      <c r="B80" s="1" t="str">
        <f>IFERROR(__xludf.DUMMYFUNCTION("AI(""이거 보고 육류, 채소, 곡물, 조미료, 기타 중에 제일 적절한걸로 골라줘"",A80)"),"조미료")</f>
        <v>조미료</v>
      </c>
      <c r="C80" s="1" t="s">
        <v>108</v>
      </c>
      <c r="D80" s="1" t="s">
        <v>88</v>
      </c>
      <c r="E80" s="3">
        <v>16.25</v>
      </c>
    </row>
    <row r="81">
      <c r="A81" s="1" t="s">
        <v>109</v>
      </c>
      <c r="B81" s="1" t="str">
        <f>IFERROR(__xludf.DUMMYFUNCTION("AI(""이거 보고 육류, 채소, 곡물, 조미료, 기타 중에 제일 적절한걸로 골라줘"",A81)"),"조미료")</f>
        <v>조미료</v>
      </c>
      <c r="C81" s="1" t="s">
        <v>110</v>
      </c>
      <c r="D81" s="1" t="s">
        <v>88</v>
      </c>
      <c r="E81" s="3">
        <v>29.2</v>
      </c>
    </row>
    <row r="82">
      <c r="A82" s="1" t="s">
        <v>109</v>
      </c>
      <c r="B82" s="1" t="str">
        <f>IFERROR(__xludf.DUMMYFUNCTION("AI(""이거 보고 육류, 채소, 곡물, 조미료, 기타 중에 제일 적절한걸로 골라줘"",A82)"),"조미료")</f>
        <v>조미료</v>
      </c>
      <c r="C82" s="1" t="s">
        <v>111</v>
      </c>
      <c r="D82" s="1" t="s">
        <v>88</v>
      </c>
      <c r="E82" s="3">
        <v>32.6</v>
      </c>
    </row>
    <row r="83">
      <c r="A83" s="1" t="s">
        <v>109</v>
      </c>
      <c r="B83" s="1" t="str">
        <f>IFERROR(__xludf.DUMMYFUNCTION("AI(""이거 보고 육류, 채소, 곡물, 조미료, 기타 중에 제일 적절한걸로 골라줘"",A83)"),"조미료")</f>
        <v>조미료</v>
      </c>
      <c r="C83" s="1" t="s">
        <v>112</v>
      </c>
      <c r="D83" s="1" t="s">
        <v>88</v>
      </c>
      <c r="E83" s="3">
        <v>41.2</v>
      </c>
    </row>
    <row r="84">
      <c r="A84" s="1" t="s">
        <v>109</v>
      </c>
      <c r="B84" s="1" t="str">
        <f>IFERROR(__xludf.DUMMYFUNCTION("AI(""이거 보고 육류, 채소, 곡물, 조미료, 기타 중에 제일 적절한걸로 골라줘"",A84)"),"조미료")</f>
        <v>조미료</v>
      </c>
      <c r="C84" s="1" t="s">
        <v>113</v>
      </c>
      <c r="D84" s="1" t="s">
        <v>88</v>
      </c>
      <c r="E84" s="3">
        <v>39.7</v>
      </c>
    </row>
    <row r="85">
      <c r="A85" s="1" t="s">
        <v>114</v>
      </c>
      <c r="B85" s="1" t="str">
        <f>IFERROR(__xludf.DUMMYFUNCTION("AI(""이거 보고 육류, 채소, 곡물, 조미료, 기타 중에 제일 적절한걸로 골라줘"",A85)"),"조미료")</f>
        <v>조미료</v>
      </c>
      <c r="C85" s="1" t="s">
        <v>115</v>
      </c>
      <c r="D85" s="1" t="s">
        <v>88</v>
      </c>
      <c r="E85" s="2" t="e">
        <v>#N/A</v>
      </c>
    </row>
    <row r="86">
      <c r="A86" s="1" t="s">
        <v>114</v>
      </c>
      <c r="B86" s="1" t="str">
        <f>IFERROR(__xludf.DUMMYFUNCTION("AI(""이거 보고 육류, 채소, 곡물, 조미료, 기타 중에 제일 적절한걸로 골라줘"",A86)"),"조미료")</f>
        <v>조미료</v>
      </c>
      <c r="C86" s="1" t="s">
        <v>116</v>
      </c>
      <c r="D86" s="1" t="s">
        <v>88</v>
      </c>
      <c r="E86" s="3">
        <v>0.575</v>
      </c>
    </row>
    <row r="87">
      <c r="A87" s="1" t="s">
        <v>114</v>
      </c>
      <c r="B87" s="1" t="str">
        <f>IFERROR(__xludf.DUMMYFUNCTION("AI(""이거 보고 육류, 채소, 곡물, 조미료, 기타 중에 제일 적절한걸로 골라줘"",A87)"),"조미료")</f>
        <v>조미료</v>
      </c>
      <c r="C87" s="1" t="s">
        <v>117</v>
      </c>
      <c r="D87" s="1" t="s">
        <v>88</v>
      </c>
      <c r="E87" s="3">
        <v>0.6375</v>
      </c>
    </row>
    <row r="88">
      <c r="A88" s="1" t="s">
        <v>61</v>
      </c>
      <c r="B88" s="1" t="str">
        <f>IFERROR(__xludf.DUMMYFUNCTION("AI(""이거 보고 육류, 채소, 곡물, 조미료, 기타 중에 제일 적절한걸로 골라줘"",A88)"),"조미료")</f>
        <v>조미료</v>
      </c>
      <c r="C88" s="1" t="s">
        <v>118</v>
      </c>
      <c r="D88" s="1" t="s">
        <v>88</v>
      </c>
      <c r="E88" s="3">
        <v>5.333333333333333</v>
      </c>
    </row>
    <row r="89">
      <c r="A89" s="1" t="s">
        <v>61</v>
      </c>
      <c r="B89" s="1" t="str">
        <f>IFERROR(__xludf.DUMMYFUNCTION("AI(""이거 보고 육류, 채소, 곡물, 조미료, 기타 중에 제일 적절한걸로 골라줘"",A89)"),"기타")</f>
        <v>기타</v>
      </c>
      <c r="C89" s="1" t="s">
        <v>119</v>
      </c>
      <c r="D89" s="1" t="s">
        <v>88</v>
      </c>
      <c r="E89" s="3">
        <v>15.0</v>
      </c>
    </row>
    <row r="90">
      <c r="A90" s="1" t="s">
        <v>61</v>
      </c>
      <c r="B90" s="1" t="str">
        <f>IFERROR(__xludf.DUMMYFUNCTION("AI(""이거 보고 육류, 채소, 곡물, 조미료, 기타 중에 제일 적절한걸로 골라줘"",A90)"),"기타")</f>
        <v>기타</v>
      </c>
      <c r="C90" s="1" t="s">
        <v>120</v>
      </c>
      <c r="D90" s="1" t="s">
        <v>88</v>
      </c>
      <c r="E90" s="3">
        <v>7.733333333333333</v>
      </c>
    </row>
    <row r="91">
      <c r="A91" s="1" t="s">
        <v>61</v>
      </c>
      <c r="B91" s="1" t="str">
        <f>IFERROR(__xludf.DUMMYFUNCTION("AI(""이거 보고 육류, 채소, 곡물, 조미료, 기타 중에 제일 적절한걸로 골라줘"",A91)"),"기타")</f>
        <v>기타</v>
      </c>
      <c r="C91" s="1" t="s">
        <v>121</v>
      </c>
      <c r="D91" s="1" t="s">
        <v>88</v>
      </c>
      <c r="E91" s="3">
        <v>9.444444444444445</v>
      </c>
    </row>
    <row r="92">
      <c r="A92" s="1" t="s">
        <v>122</v>
      </c>
      <c r="B92" s="1" t="str">
        <f>IFERROR(__xludf.DUMMYFUNCTION("AI(""이거 보고 육류, 채소, 곡물, 조미료, 기타 중에 제일 적절한걸로 골라줘"",A92)"),"조미료")</f>
        <v>조미료</v>
      </c>
      <c r="C92" s="1" t="s">
        <v>123</v>
      </c>
      <c r="D92" s="1" t="s">
        <v>88</v>
      </c>
      <c r="E92" s="3">
        <v>3.795918367346939</v>
      </c>
    </row>
    <row r="93">
      <c r="A93" s="1" t="s">
        <v>122</v>
      </c>
      <c r="B93" s="1" t="str">
        <f>IFERROR(__xludf.DUMMYFUNCTION("AI(""이거 보고 육류, 채소, 곡물, 조미료, 기타 중에 제일 적절한걸로 골라줘"",A93)"),"조미료")</f>
        <v>조미료</v>
      </c>
      <c r="C93" s="1" t="s">
        <v>124</v>
      </c>
      <c r="D93" s="1" t="s">
        <v>88</v>
      </c>
      <c r="E93" s="3">
        <v>3.38</v>
      </c>
    </row>
    <row r="94">
      <c r="A94" s="1" t="s">
        <v>61</v>
      </c>
      <c r="B94" s="1" t="str">
        <f>IFERROR(__xludf.DUMMYFUNCTION("AI(""이거 보고 육류, 채소, 곡물, 조미료, 기타 중에 제일 적절한걸로 골라줘"",A94)"),"조미료")</f>
        <v>조미료</v>
      </c>
      <c r="C94" s="1" t="s">
        <v>125</v>
      </c>
      <c r="D94" s="1" t="s">
        <v>88</v>
      </c>
      <c r="E94" s="3">
        <v>13.333333333333332</v>
      </c>
    </row>
    <row r="95">
      <c r="A95" s="1" t="s">
        <v>61</v>
      </c>
      <c r="B95" s="1" t="str">
        <f>IFERROR(__xludf.DUMMYFUNCTION("AI(""이거 보고 육류, 채소, 곡물, 조미료, 기타 중에 제일 적절한걸로 골라줘"",A95)"),"조미료")</f>
        <v>조미료</v>
      </c>
      <c r="C95" s="1" t="s">
        <v>126</v>
      </c>
      <c r="D95" s="1" t="s">
        <v>88</v>
      </c>
      <c r="E95" s="3">
        <v>31.882352941176475</v>
      </c>
    </row>
    <row r="96">
      <c r="A96" s="1" t="s">
        <v>61</v>
      </c>
      <c r="B96" s="1" t="str">
        <f>IFERROR(__xludf.DUMMYFUNCTION("AI(""이거 보고 육류, 채소, 곡물, 조미료, 기타 중에 제일 적절한걸로 골라줘"",A96)"),"조미료")</f>
        <v>조미료</v>
      </c>
      <c r="C96" s="1" t="s">
        <v>127</v>
      </c>
      <c r="D96" s="1" t="s">
        <v>88</v>
      </c>
      <c r="E96" s="3">
        <v>22.8</v>
      </c>
    </row>
    <row r="97">
      <c r="A97" s="1" t="s">
        <v>61</v>
      </c>
      <c r="B97" s="1" t="str">
        <f>IFERROR(__xludf.DUMMYFUNCTION("AI(""이거 보고 육류, 채소, 곡물, 조미료, 기타 중에 제일 적절한걸로 골라줘"",A97)"),"조미료")</f>
        <v>조미료</v>
      </c>
      <c r="C97" s="1" t="s">
        <v>128</v>
      </c>
      <c r="D97" s="1" t="s">
        <v>88</v>
      </c>
      <c r="E97" s="3">
        <v>9.555555555555555</v>
      </c>
    </row>
    <row r="98">
      <c r="A98" s="1" t="s">
        <v>61</v>
      </c>
      <c r="B98" s="1" t="str">
        <f>IFERROR(__xludf.DUMMYFUNCTION("AI(""이거 보고 육류, 채소, 곡물, 조미료, 기타 중에 제일 적절한걸로 골라줘"",A98)"),"조미료")</f>
        <v>조미료</v>
      </c>
      <c r="C98" s="1" t="s">
        <v>129</v>
      </c>
      <c r="D98" s="1" t="s">
        <v>88</v>
      </c>
      <c r="E98" s="3">
        <v>9.444444444444445</v>
      </c>
    </row>
    <row r="99">
      <c r="A99" s="1" t="s">
        <v>61</v>
      </c>
      <c r="B99" s="1" t="str">
        <f>IFERROR(__xludf.DUMMYFUNCTION("AI(""이거 보고 육류, 채소, 곡물, 조미료, 기타 중에 제일 적절한걸로 골라줘"",A99)"),"조미료")</f>
        <v>조미료</v>
      </c>
      <c r="C99" s="1" t="s">
        <v>130</v>
      </c>
      <c r="D99" s="1" t="s">
        <v>88</v>
      </c>
      <c r="E99" s="3">
        <v>7.222222222222222</v>
      </c>
    </row>
    <row r="100">
      <c r="A100" s="1" t="s">
        <v>131</v>
      </c>
      <c r="B100" s="1" t="str">
        <f>IFERROR(__xludf.DUMMYFUNCTION("AI(""이거 보고 육류, 채소, 곡물, 조미료, 기타 중에 제일 적절한걸로 골라줘"",A100)"),"조미료")</f>
        <v>조미료</v>
      </c>
      <c r="C100" s="1" t="s">
        <v>132</v>
      </c>
      <c r="D100" s="1" t="s">
        <v>88</v>
      </c>
      <c r="E100" s="3">
        <v>10.0</v>
      </c>
    </row>
    <row r="101">
      <c r="A101" s="1" t="s">
        <v>133</v>
      </c>
      <c r="B101" s="1" t="str">
        <f>IFERROR(__xludf.DUMMYFUNCTION("AI(""이거 보고 육류, 채소, 곡물, 조미료, 기타 중에 제일 적절한걸로 골라줘"",A101)"),"조미료")</f>
        <v>조미료</v>
      </c>
      <c r="C101" s="1" t="s">
        <v>134</v>
      </c>
      <c r="D101" s="1" t="s">
        <v>88</v>
      </c>
      <c r="E101" s="3">
        <v>13.72549019607843</v>
      </c>
    </row>
    <row r="102">
      <c r="A102" s="1" t="s">
        <v>133</v>
      </c>
      <c r="B102" s="1" t="str">
        <f>IFERROR(__xludf.DUMMYFUNCTION("AI(""이거 보고 육류, 채소, 곡물, 조미료, 기타 중에 제일 적절한걸로 골라줘"",A102)"),"조미료")</f>
        <v>조미료</v>
      </c>
      <c r="C102" s="1" t="s">
        <v>135</v>
      </c>
      <c r="D102" s="1" t="s">
        <v>88</v>
      </c>
      <c r="E102" s="3">
        <v>11.356119073869902</v>
      </c>
    </row>
    <row r="103">
      <c r="A103" s="1" t="s">
        <v>136</v>
      </c>
      <c r="B103" s="1" t="str">
        <f>IFERROR(__xludf.DUMMYFUNCTION("AI(""이거 보고 육류, 채소, 곡물, 조미료, 기타 중에 제일 적절한걸로 골라줘"",A103)"),"조미료")</f>
        <v>조미료</v>
      </c>
      <c r="C103" s="1" t="s">
        <v>137</v>
      </c>
      <c r="D103" s="1" t="s">
        <v>88</v>
      </c>
      <c r="E103" s="3">
        <v>9.285714285714285</v>
      </c>
    </row>
    <row r="104">
      <c r="A104" s="1" t="s">
        <v>136</v>
      </c>
      <c r="B104" s="1" t="str">
        <f>IFERROR(__xludf.DUMMYFUNCTION("AI(""이거 보고 육류, 채소, 곡물, 조미료, 기타 중에 제일 적절한걸로 골라줘"",A104)"),"조미료")</f>
        <v>조미료</v>
      </c>
      <c r="C104" s="1" t="s">
        <v>138</v>
      </c>
      <c r="D104" s="1" t="s">
        <v>88</v>
      </c>
      <c r="E104" s="3">
        <v>18.513513513513512</v>
      </c>
    </row>
    <row r="105">
      <c r="A105" s="1" t="s">
        <v>136</v>
      </c>
      <c r="B105" s="1" t="str">
        <f>IFERROR(__xludf.DUMMYFUNCTION("AI(""이거 보고 육류, 채소, 곡물, 조미료, 기타 중에 제일 적절한걸로 골라줘"",A105)"),"조미료")</f>
        <v>조미료</v>
      </c>
      <c r="C105" s="1" t="s">
        <v>139</v>
      </c>
      <c r="D105" s="1" t="s">
        <v>88</v>
      </c>
      <c r="E105" s="3">
        <v>13.666666666666668</v>
      </c>
    </row>
    <row r="106">
      <c r="A106" s="1" t="s">
        <v>136</v>
      </c>
      <c r="B106" s="1" t="str">
        <f>IFERROR(__xludf.DUMMYFUNCTION("AI(""이거 보고 육류, 채소, 곡물, 조미료, 기타 중에 제일 적절한걸로 골라줘"",A106)"),"조미료")</f>
        <v>조미료</v>
      </c>
      <c r="C106" s="1" t="s">
        <v>140</v>
      </c>
      <c r="D106" s="1" t="s">
        <v>88</v>
      </c>
      <c r="E106" s="3">
        <v>13.333333333333332</v>
      </c>
    </row>
    <row r="107">
      <c r="A107" s="1" t="s">
        <v>131</v>
      </c>
      <c r="B107" s="1" t="str">
        <f>IFERROR(__xludf.DUMMYFUNCTION("AI(""이거 보고 육류, 채소, 곡물, 조미료, 기타 중에 제일 적절한걸로 골라줘"",A107)"),"조미료")</f>
        <v>조미료</v>
      </c>
      <c r="C107" s="1" t="s">
        <v>141</v>
      </c>
      <c r="D107" s="1" t="s">
        <v>88</v>
      </c>
      <c r="E107" s="3">
        <v>8.588235294117647</v>
      </c>
    </row>
    <row r="108">
      <c r="A108" s="1" t="s">
        <v>131</v>
      </c>
      <c r="B108" s="1" t="str">
        <f>IFERROR(__xludf.DUMMYFUNCTION("AI(""이거 보고 육류, 채소, 곡물, 조미료, 기타 중에 제일 적절한걸로 골라줘"",A108)"),"조미료")</f>
        <v>조미료</v>
      </c>
      <c r="C108" s="1" t="s">
        <v>142</v>
      </c>
      <c r="D108" s="1" t="s">
        <v>88</v>
      </c>
      <c r="E108" s="3">
        <v>10.232558139534884</v>
      </c>
    </row>
    <row r="109">
      <c r="A109" s="1" t="s">
        <v>131</v>
      </c>
      <c r="B109" s="1" t="str">
        <f>IFERROR(__xludf.DUMMYFUNCTION("AI(""이거 보고 육류, 채소, 곡물, 조미료, 기타 중에 제일 적절한걸로 골라줘"",A109)"),"조미료")</f>
        <v>조미료</v>
      </c>
      <c r="C109" s="1" t="s">
        <v>143</v>
      </c>
      <c r="D109" s="1" t="s">
        <v>88</v>
      </c>
      <c r="E109" s="3">
        <v>7.294117647058824</v>
      </c>
    </row>
    <row r="110">
      <c r="A110" s="1" t="s">
        <v>131</v>
      </c>
      <c r="B110" s="1" t="str">
        <f>IFERROR(__xludf.DUMMYFUNCTION("AI(""이거 보고 육류, 채소, 곡물, 조미료, 기타 중에 제일 적절한걸로 골라줘"",A110)"),"조미료")</f>
        <v>조미료</v>
      </c>
      <c r="C110" s="1" t="s">
        <v>144</v>
      </c>
      <c r="D110" s="1" t="s">
        <v>88</v>
      </c>
      <c r="E110" s="3">
        <v>8.604651162790699</v>
      </c>
    </row>
    <row r="111">
      <c r="A111" s="1" t="s">
        <v>145</v>
      </c>
      <c r="B111" s="1" t="str">
        <f>IFERROR(__xludf.DUMMYFUNCTION("AI(""이거 보고 육류, 채소, 곡물, 조미료, 기타 중에 제일 적절한걸로 골라줘"",A111)"),"조미료")</f>
        <v>조미료</v>
      </c>
      <c r="C111" s="1" t="s">
        <v>146</v>
      </c>
      <c r="D111" s="1" t="s">
        <v>88</v>
      </c>
      <c r="E111" s="3">
        <v>10.470588235294118</v>
      </c>
    </row>
    <row r="112">
      <c r="A112" s="1" t="s">
        <v>147</v>
      </c>
      <c r="B112" s="1" t="str">
        <f>IFERROR(__xludf.DUMMYFUNCTION("AI(""이거 보고 육류, 채소, 곡물, 조미료, 기타 중에 제일 적절한걸로 골라줘"",A112)"),"조미료")</f>
        <v>조미료</v>
      </c>
      <c r="C112" s="1" t="s">
        <v>148</v>
      </c>
      <c r="D112" s="1" t="s">
        <v>88</v>
      </c>
      <c r="E112" s="3">
        <v>11.744186046511627</v>
      </c>
    </row>
    <row r="113">
      <c r="A113" s="1" t="s">
        <v>147</v>
      </c>
      <c r="B113" s="1" t="str">
        <f>IFERROR(__xludf.DUMMYFUNCTION("AI(""이거 보고 육류, 채소, 곡물, 조미료, 기타 중에 제일 적절한걸로 골라줘"",A113)"),"조미료")</f>
        <v>조미료</v>
      </c>
      <c r="C113" s="1" t="s">
        <v>149</v>
      </c>
      <c r="D113" s="1" t="s">
        <v>88</v>
      </c>
      <c r="E113" s="3">
        <v>11.4</v>
      </c>
    </row>
    <row r="114">
      <c r="A114" s="1" t="s">
        <v>150</v>
      </c>
      <c r="B114" s="1" t="str">
        <f>IFERROR(__xludf.DUMMYFUNCTION("AI(""이거 보고 육류, 채소, 곡물, 조미료, 기타 중에 제일 적절한걸로 골라줘"",A114)"),"곡물")</f>
        <v>곡물</v>
      </c>
      <c r="C114" s="1" t="s">
        <v>151</v>
      </c>
      <c r="D114" s="1" t="s">
        <v>88</v>
      </c>
      <c r="E114" s="3">
        <v>5.181918412348401</v>
      </c>
    </row>
    <row r="115">
      <c r="A115" s="1" t="s">
        <v>152</v>
      </c>
      <c r="B115" s="1" t="str">
        <f>IFERROR(__xludf.DUMMYFUNCTION("AI(""이거 보고 육류, 채소, 곡물, 조미료, 기타 중에 제일 적절한걸로 골라줘"",A115)"),"기타")</f>
        <v>기타</v>
      </c>
      <c r="C115" s="1" t="s">
        <v>153</v>
      </c>
      <c r="D115" s="1" t="s">
        <v>88</v>
      </c>
      <c r="E115" s="3">
        <v>5.181918412348401</v>
      </c>
    </row>
    <row r="116">
      <c r="A116" s="1" t="s">
        <v>152</v>
      </c>
      <c r="B116" s="1" t="str">
        <f>IFERROR(__xludf.DUMMYFUNCTION("AI(""이거 보고 육류, 채소, 곡물, 조미료, 기타 중에 제일 적절한걸로 골라줘"",A116)"),"기타")</f>
        <v>기타</v>
      </c>
      <c r="C116" s="1" t="s">
        <v>154</v>
      </c>
      <c r="D116" s="1" t="s">
        <v>88</v>
      </c>
      <c r="E116" s="3">
        <v>3.5</v>
      </c>
    </row>
    <row r="117">
      <c r="A117" s="1" t="s">
        <v>150</v>
      </c>
      <c r="B117" s="1" t="str">
        <f>IFERROR(__xludf.DUMMYFUNCTION("AI(""이거 보고 육류, 채소, 곡물, 조미료, 기타 중에 제일 적절한걸로 골라줘"",A117)"),"곡물")</f>
        <v>곡물</v>
      </c>
      <c r="C117" s="1" t="s">
        <v>155</v>
      </c>
      <c r="D117" s="1" t="s">
        <v>88</v>
      </c>
      <c r="E117" s="3">
        <v>5.8</v>
      </c>
    </row>
    <row r="118">
      <c r="A118" s="1" t="s">
        <v>152</v>
      </c>
      <c r="B118" s="1" t="str">
        <f>IFERROR(__xludf.DUMMYFUNCTION("AI(""이거 보고 육류, 채소, 곡물, 조미료, 기타 중에 제일 적절한걸로 골라줘"",A118)"),"곡물")</f>
        <v>곡물</v>
      </c>
      <c r="C118" s="1" t="s">
        <v>156</v>
      </c>
      <c r="D118" s="1" t="s">
        <v>88</v>
      </c>
      <c r="E118" s="3">
        <v>5.0</v>
      </c>
    </row>
    <row r="119">
      <c r="A119" s="1" t="s">
        <v>150</v>
      </c>
      <c r="B119" s="1" t="str">
        <f>IFERROR(__xludf.DUMMYFUNCTION("AI(""이거 보고 육류, 채소, 곡물, 조미료, 기타 중에 제일 적절한걸로 골라줘"",A119)"),"기타")</f>
        <v>기타</v>
      </c>
      <c r="C119" s="1" t="s">
        <v>157</v>
      </c>
      <c r="D119" s="1" t="s">
        <v>88</v>
      </c>
      <c r="E119" s="3">
        <v>6.8</v>
      </c>
    </row>
    <row r="120">
      <c r="A120" s="1" t="s">
        <v>150</v>
      </c>
      <c r="B120" s="1" t="str">
        <f>IFERROR(__xludf.DUMMYFUNCTION("AI(""이거 보고 육류, 채소, 곡물, 조미료, 기타 중에 제일 적절한걸로 골라줘"",A120)"),"기타")</f>
        <v>기타</v>
      </c>
      <c r="C120" s="1" t="s">
        <v>158</v>
      </c>
      <c r="D120" s="1" t="s">
        <v>88</v>
      </c>
      <c r="E120" s="3">
        <v>5.2</v>
      </c>
    </row>
    <row r="121">
      <c r="A121" s="1" t="s">
        <v>150</v>
      </c>
      <c r="B121" s="1" t="str">
        <f>IFERROR(__xludf.DUMMYFUNCTION("AI(""이거 보고 육류, 채소, 곡물, 조미료, 기타 중에 제일 적절한걸로 골라줘"",A121)"),"곡물")</f>
        <v>곡물</v>
      </c>
      <c r="C121" s="1" t="s">
        <v>159</v>
      </c>
      <c r="D121" s="1" t="s">
        <v>88</v>
      </c>
      <c r="E121" s="3">
        <v>4.1</v>
      </c>
    </row>
    <row r="128">
      <c r="A128" s="1" t="s">
        <v>160</v>
      </c>
      <c r="B128" s="1" t="str">
        <f>IFERROR(__xludf.DUMMYFUNCTION("AI(""이거 보고 육류, 채소, 곡물, 조미료, 기타 중에 제일 적절한걸로 골라줘"",A128)"),"조미료")</f>
        <v>조미료</v>
      </c>
      <c r="C128" s="1" t="s">
        <v>161</v>
      </c>
      <c r="D128" s="1" t="s">
        <v>88</v>
      </c>
      <c r="E128" s="3">
        <v>10.727272727272727</v>
      </c>
    </row>
    <row r="129">
      <c r="A129" s="1" t="s">
        <v>160</v>
      </c>
      <c r="B129" s="1" t="str">
        <f>IFERROR(__xludf.DUMMYFUNCTION("AI(""이거 보고 육류, 채소, 곡물, 조미료, 기타 중에 제일 적절한걸로 골라줘"",A129)"),"조미료")</f>
        <v>조미료</v>
      </c>
      <c r="C129" s="1" t="s">
        <v>162</v>
      </c>
      <c r="D129" s="1" t="s">
        <v>88</v>
      </c>
      <c r="E129" s="3">
        <v>11.609756097560977</v>
      </c>
    </row>
    <row r="130">
      <c r="A130" s="1" t="s">
        <v>160</v>
      </c>
      <c r="B130" s="1" t="str">
        <f>IFERROR(__xludf.DUMMYFUNCTION("AI(""이거 보고 육류, 채소, 곡물, 조미료, 기타 중에 제일 적절한걸로 골라줘"",A130)"),"조미료")</f>
        <v>조미료</v>
      </c>
      <c r="C130" s="1" t="s">
        <v>163</v>
      </c>
      <c r="D130" s="1" t="s">
        <v>88</v>
      </c>
      <c r="E130" s="3">
        <v>8.666666666666668</v>
      </c>
    </row>
    <row r="131">
      <c r="A131" s="1" t="s">
        <v>54</v>
      </c>
      <c r="B131" s="1" t="str">
        <f>IFERROR(__xludf.DUMMYFUNCTION("AI(""이거 보고 육류, 채소, 곡물, 조미료, 기타 중에 제일 적절한걸로 골라줘"",A131)"),"기타")</f>
        <v>기타</v>
      </c>
      <c r="C131" s="1" t="s">
        <v>164</v>
      </c>
      <c r="D131" s="1" t="s">
        <v>88</v>
      </c>
      <c r="E131" s="3">
        <v>15.4</v>
      </c>
    </row>
    <row r="132">
      <c r="A132" s="1" t="s">
        <v>54</v>
      </c>
      <c r="B132" s="1" t="str">
        <f>IFERROR(__xludf.DUMMYFUNCTION("AI(""이거 보고 육류, 채소, 곡물, 조미료, 기타 중에 제일 적절한걸로 골라줘"",A132)"),"기타")</f>
        <v>기타</v>
      </c>
      <c r="C132" s="1" t="s">
        <v>165</v>
      </c>
      <c r="D132" s="1" t="s">
        <v>88</v>
      </c>
      <c r="E132" s="3">
        <v>16.1</v>
      </c>
    </row>
    <row r="133">
      <c r="A133" s="1" t="s">
        <v>166</v>
      </c>
      <c r="B133" s="1" t="str">
        <f>IFERROR(__xludf.DUMMYFUNCTION("AI(""이거 보고 육류, 채소, 곡물, 조미료, 기타 중에 제일 적절한걸로 골라줘"",A133)"),"육류")</f>
        <v>육류</v>
      </c>
      <c r="C133" s="1" t="s">
        <v>167</v>
      </c>
      <c r="D133" s="1" t="s">
        <v>88</v>
      </c>
      <c r="E133" s="3">
        <v>13.3</v>
      </c>
    </row>
    <row r="134">
      <c r="A134" s="1" t="s">
        <v>168</v>
      </c>
      <c r="B134" s="1" t="str">
        <f>IFERROR(__xludf.DUMMYFUNCTION("AI(""이거 보고 육류, 채소, 곡물, 조미료, 기타 중에 제일 적절한걸로 골라줘"",A134)"),"기타")</f>
        <v>기타</v>
      </c>
      <c r="C134" s="1" t="s">
        <v>169</v>
      </c>
      <c r="D134" s="1" t="s">
        <v>88</v>
      </c>
      <c r="E134" s="3">
        <v>9.11111111111111</v>
      </c>
    </row>
    <row r="135">
      <c r="A135" s="1" t="s">
        <v>168</v>
      </c>
      <c r="B135" s="1" t="str">
        <f>IFERROR(__xludf.DUMMYFUNCTION("AI(""이거 보고 육류, 채소, 곡물, 조미료, 기타 중에 제일 적절한걸로 골라줘"",A135)"),"기타")</f>
        <v>기타</v>
      </c>
      <c r="C135" s="1" t="s">
        <v>170</v>
      </c>
      <c r="D135" s="1" t="s">
        <v>88</v>
      </c>
      <c r="E135" s="3">
        <v>11.428571428571429</v>
      </c>
    </row>
    <row r="136">
      <c r="A136" s="1" t="s">
        <v>168</v>
      </c>
      <c r="B136" s="1" t="str">
        <f>IFERROR(__xludf.DUMMYFUNCTION("AI(""이거 보고 육류, 채소, 곡물, 조미료, 기타 중에 제일 적절한걸로 골라줘"",A136)"),"기타")</f>
        <v>기타</v>
      </c>
      <c r="C136" s="1" t="s">
        <v>171</v>
      </c>
      <c r="D136" s="1" t="s">
        <v>88</v>
      </c>
      <c r="E136" s="3">
        <v>12.96875</v>
      </c>
    </row>
    <row r="137">
      <c r="A137" s="1" t="s">
        <v>172</v>
      </c>
      <c r="B137" s="1" t="str">
        <f>IFERROR(__xludf.DUMMYFUNCTION("AI(""이거 보고 육류, 채소, 곡물, 조미료, 기타 중에 제일 적절한걸로 골라줘"",A137)"),"기타")</f>
        <v>기타</v>
      </c>
      <c r="C137" s="1" t="s">
        <v>173</v>
      </c>
      <c r="D137" s="1" t="s">
        <v>88</v>
      </c>
      <c r="E137" s="3">
        <v>8.9</v>
      </c>
    </row>
    <row r="138">
      <c r="A138" s="2" t="str">
        <f>IFERROR(__xludf.DUMMYFUNCTION("ai(""재료 이름을 간단하게 추출해줘"",C138)"),"게맛살")</f>
        <v>게맛살</v>
      </c>
      <c r="B138" s="1" t="str">
        <f>IFERROR(__xludf.DUMMYFUNCTION("AI(""이거 보고 육류, 채소, 곡물, 조미료, 기타 중에 제일 적절한걸로 골라줘"",A138)"),"기타")</f>
        <v>기타</v>
      </c>
      <c r="C138" s="1" t="s">
        <v>174</v>
      </c>
      <c r="D138" s="1" t="s">
        <v>88</v>
      </c>
      <c r="E138" s="3">
        <v>12.4</v>
      </c>
    </row>
    <row r="139">
      <c r="A139" s="2" t="str">
        <f>IFERROR(__xludf.DUMMYFUNCTION("ai(""재료 이름을 간단하게 추출해줘"",C139)"),"크래미")</f>
        <v>크래미</v>
      </c>
      <c r="B139" s="1" t="str">
        <f>IFERROR(__xludf.DUMMYFUNCTION("AI(""이거 보고 육류, 채소, 곡물, 조미료, 기타 중에 제일 적절한걸로 골라줘"",A139)"),"기타")</f>
        <v>기타</v>
      </c>
      <c r="C139" s="1" t="s">
        <v>175</v>
      </c>
      <c r="D139" s="1" t="s">
        <v>88</v>
      </c>
      <c r="E139" s="3">
        <v>26.666666666666668</v>
      </c>
    </row>
    <row r="140">
      <c r="A140" s="2" t="str">
        <f>IFERROR(__xludf.DUMMYFUNCTION("ai(""재료 이름을 브랜드명 제외하고 상품만 넓은범위로 간단하게 추출해줘"",C140)"),"크래미")</f>
        <v>크래미</v>
      </c>
      <c r="B140" s="1" t="str">
        <f>IFERROR(__xludf.DUMMYFUNCTION("AI(""이거 보고 육류, 채소, 곡물, 조미료, 기타 중에 제일 적절한걸로 골라줘"",A140)"),"기타")</f>
        <v>기타</v>
      </c>
      <c r="C140" s="1" t="s">
        <v>176</v>
      </c>
      <c r="D140" s="1" t="s">
        <v>88</v>
      </c>
      <c r="E140" s="3">
        <v>28.88888888888889</v>
      </c>
    </row>
    <row r="141">
      <c r="A141" s="2" t="str">
        <f>IFERROR(__xludf.DUMMYFUNCTION("ai(""재료 이름을 브랜드명 제외하고 상품만 넓은범위로 간단하게 추출해줘"",C141)"),"어묵")</f>
        <v>어묵</v>
      </c>
      <c r="B141" s="1" t="str">
        <f>IFERROR(__xludf.DUMMYFUNCTION("AI(""이거 보고 육류, 채소, 곡물, 조미료, 기타 중에 제일 적절한걸로 골라줘"",A141)"),"기타")</f>
        <v>기타</v>
      </c>
      <c r="C141" s="1" t="s">
        <v>177</v>
      </c>
      <c r="D141" s="1" t="s">
        <v>88</v>
      </c>
      <c r="E141" s="3">
        <v>7.7</v>
      </c>
    </row>
    <row r="142">
      <c r="A142" s="2" t="str">
        <f>IFERROR(__xludf.DUMMYFUNCTION("ai(""재료 이름을 브랜드명 제외하고 상품만 넓은범위로 간단하게 추출해줘"",C142)"),"도미살 사각어묵")</f>
        <v>도미살 사각어묵</v>
      </c>
      <c r="B142" s="1" t="str">
        <f>IFERROR(__xludf.DUMMYFUNCTION("AI(""이거 보고 육류, 채소, 곡물, 조미료, 기타 중에 제일 적절한걸로 골라줘"",A142)"),"기타")</f>
        <v>기타</v>
      </c>
      <c r="C142" s="1" t="s">
        <v>178</v>
      </c>
      <c r="D142" s="1" t="s">
        <v>88</v>
      </c>
      <c r="E142" s="3">
        <v>10.8</v>
      </c>
    </row>
    <row r="143">
      <c r="A143" s="2" t="str">
        <f>IFERROR(__xludf.DUMMYFUNCTION("ai(""재료 이름을 브랜드명 제외하고 상품만 넓은범위로 간단하게 추출해줘"",C143)"),"도미살 두부어묵")</f>
        <v>도미살 두부어묵</v>
      </c>
      <c r="B143" s="1" t="str">
        <f>IFERROR(__xludf.DUMMYFUNCTION("AI(""이거 보고 육류, 채소, 곡물, 조미료, 기타 중에 제일 적절한걸로 골라줘"",A143)"),"기타")</f>
        <v>기타</v>
      </c>
      <c r="C143" s="1" t="s">
        <v>179</v>
      </c>
      <c r="D143" s="1" t="s">
        <v>88</v>
      </c>
      <c r="E143" s="3">
        <v>4.2</v>
      </c>
    </row>
    <row r="144">
      <c r="A144" s="2" t="str">
        <f>IFERROR(__xludf.DUMMYFUNCTION("ai(""재료 이름을 브랜드명 제외하고 상품만 넓은범위로 간단하게 추출해줘"",C144)"),"사각어묵")</f>
        <v>사각어묵</v>
      </c>
      <c r="B144" s="1" t="str">
        <f>IFERROR(__xludf.DUMMYFUNCTION("AI(""이거 보고 육류, 채소, 곡물, 조미료, 기타 중에 제일 적절한걸로 골라줘"",A144)"),"기타")</f>
        <v>기타</v>
      </c>
      <c r="C144" s="1" t="s">
        <v>180</v>
      </c>
      <c r="D144" s="1" t="s">
        <v>88</v>
      </c>
      <c r="E144" s="3">
        <v>6.6</v>
      </c>
    </row>
    <row r="145">
      <c r="A145" s="2" t="str">
        <f>IFERROR(__xludf.DUMMYFUNCTION("ai(""재료 이름을 브랜드명 제외하고 상품만 넓은범위로 간단하게 추출해줘"",C145)"),"사각어묵 (어묵)")</f>
        <v>사각어묵 (어묵)</v>
      </c>
      <c r="B145" s="1" t="str">
        <f>IFERROR(__xludf.DUMMYFUNCTION("AI(""이거 보고 육류, 채소, 곡물, 조미료, 기타 중에 제일 적절한걸로 골라줘"",A145)"),"기타")</f>
        <v>기타</v>
      </c>
      <c r="C145" s="1" t="s">
        <v>181</v>
      </c>
      <c r="D145" s="1" t="s">
        <v>88</v>
      </c>
      <c r="E145" s="3">
        <v>3.0</v>
      </c>
    </row>
    <row r="146">
      <c r="A146" s="2" t="str">
        <f>IFERROR(__xludf.DUMMYFUNCTION("ai(""재료 이름을 브랜드명 제외하고 상품만 넓은범위로 간단하게 추출해줘"",C146)"),"사각어묵")</f>
        <v>사각어묵</v>
      </c>
      <c r="B146" s="1" t="str">
        <f>IFERROR(__xludf.DUMMYFUNCTION("AI(""이거 보고 육류, 채소, 곡물, 조미료, 기타 중에 제일 적절한걸로 골라줘"",A146)"),"기타")</f>
        <v>기타</v>
      </c>
      <c r="C146" s="1" t="s">
        <v>182</v>
      </c>
      <c r="D146" s="1" t="s">
        <v>88</v>
      </c>
      <c r="E146" s="3">
        <v>7.7</v>
      </c>
    </row>
    <row r="147">
      <c r="A147" s="1" t="s">
        <v>183</v>
      </c>
      <c r="B147" s="1" t="str">
        <f>IFERROR(__xludf.DUMMYFUNCTION("AI(""이거 보고 육류, 채소, 곡물, 조미료, 기타 중에 제일 적절한걸로 골라줘"",A147)"),"곡물")</f>
        <v>곡물</v>
      </c>
      <c r="C147" s="1" t="s">
        <v>184</v>
      </c>
      <c r="D147" s="1" t="s">
        <v>88</v>
      </c>
      <c r="E147" s="3">
        <v>6.6</v>
      </c>
    </row>
    <row r="148">
      <c r="A148" s="1" t="s">
        <v>183</v>
      </c>
      <c r="B148" s="1" t="str">
        <f>IFERROR(__xludf.DUMMYFUNCTION("AI(""이거 보고 육류, 채소, 곡물, 조미료, 기타 중에 제일 적절한걸로 골라줘"",A148)"),"곡물")</f>
        <v>곡물</v>
      </c>
      <c r="C148" s="1" t="s">
        <v>185</v>
      </c>
      <c r="D148" s="1" t="s">
        <v>88</v>
      </c>
      <c r="E148" s="3">
        <v>9.5</v>
      </c>
    </row>
    <row r="149">
      <c r="A149" s="1" t="s">
        <v>183</v>
      </c>
      <c r="B149" s="1" t="str">
        <f>IFERROR(__xludf.DUMMYFUNCTION("AI(""이거 보고 육류, 채소, 곡물, 조미료, 기타 중에 제일 적절한걸로 골라줘"",A149)"),"곡물")</f>
        <v>곡물</v>
      </c>
      <c r="C149" s="1" t="s">
        <v>186</v>
      </c>
      <c r="D149" s="1" t="s">
        <v>88</v>
      </c>
      <c r="E149" s="3">
        <v>8.8</v>
      </c>
    </row>
    <row r="150">
      <c r="A150" s="1" t="s">
        <v>183</v>
      </c>
      <c r="B150" s="1" t="str">
        <f>IFERROR(__xludf.DUMMYFUNCTION("AI(""이거 보고 육류, 채소, 곡물, 조미료, 기타 중에 제일 적절한걸로 골라줘"",A150)"),"곡물")</f>
        <v>곡물</v>
      </c>
      <c r="C150" s="1" t="s">
        <v>187</v>
      </c>
      <c r="D150" s="1" t="s">
        <v>88</v>
      </c>
      <c r="E150" s="3">
        <v>4.4</v>
      </c>
    </row>
    <row r="151">
      <c r="A151" s="1" t="s">
        <v>183</v>
      </c>
      <c r="B151" s="1" t="str">
        <f>IFERROR(__xludf.DUMMYFUNCTION("AI(""이거 보고 육류, 채소, 곡물, 조미료, 기타 중에 제일 적절한걸로 골라줘"",A151)"),"곡물")</f>
        <v>곡물</v>
      </c>
      <c r="C151" s="1" t="s">
        <v>188</v>
      </c>
      <c r="D151" s="1" t="s">
        <v>88</v>
      </c>
      <c r="E151" s="3">
        <v>6.3</v>
      </c>
    </row>
    <row r="152">
      <c r="A152" s="1" t="s">
        <v>183</v>
      </c>
      <c r="B152" s="1" t="str">
        <f>IFERROR(__xludf.DUMMYFUNCTION("AI(""이거 보고 육류, 채소, 곡물, 조미료, 기타 중에 제일 적절한걸로 골라줘"",A152)"),"곡물")</f>
        <v>곡물</v>
      </c>
      <c r="C152" s="1" t="s">
        <v>189</v>
      </c>
      <c r="D152" s="1" t="s">
        <v>88</v>
      </c>
      <c r="E152" s="3">
        <v>8.4</v>
      </c>
    </row>
    <row r="153">
      <c r="A153" s="1" t="s">
        <v>183</v>
      </c>
      <c r="B153" s="1" t="str">
        <f>IFERROR(__xludf.DUMMYFUNCTION("AI(""이거 보고 육류, 채소, 곡물, 조미료, 기타 중에 제일 적절한걸로 골라줘"",A153)"),"곡물")</f>
        <v>곡물</v>
      </c>
      <c r="C153" s="1" t="s">
        <v>190</v>
      </c>
      <c r="D153" s="1" t="s">
        <v>88</v>
      </c>
      <c r="E153" s="3">
        <v>7.6</v>
      </c>
    </row>
    <row r="154">
      <c r="A154" s="2" t="str">
        <f>IFERROR(__xludf.DUMMYFUNCTION("ai(""재료 이름을 브랜드명 제외하고 상품만 넓은범위로 간단하게 추출해줘"",C154)"),"치킨무")</f>
        <v>치킨무</v>
      </c>
      <c r="B154" s="1" t="str">
        <f>IFERROR(__xludf.DUMMYFUNCTION("AI(""이거 보고 육류, 채소, 곡물, 조미료, 기타 중에 제일 적절한걸로 골라줘"",A154)"),"기타")</f>
        <v>기타</v>
      </c>
      <c r="C154" s="1" t="s">
        <v>191</v>
      </c>
      <c r="D154" s="1" t="s">
        <v>88</v>
      </c>
      <c r="E154" s="3">
        <v>4.5</v>
      </c>
    </row>
    <row r="155">
      <c r="A155" s="2" t="str">
        <f>IFERROR(__xludf.DUMMYFUNCTION("ai(""재료 이름을 브랜드명 제외하고 상품만 넓은범위로 간단하게 추출해줘"",C155)"),"치킨무")</f>
        <v>치킨무</v>
      </c>
      <c r="B155" s="1" t="str">
        <f>IFERROR(__xludf.DUMMYFUNCTION("AI(""이거 보고 육류, 채소, 곡물, 조미료, 기타 중에 제일 적절한걸로 골라줘"",A155)"),"채소")</f>
        <v>채소</v>
      </c>
      <c r="C155" s="1" t="s">
        <v>192</v>
      </c>
      <c r="D155" s="1" t="s">
        <v>88</v>
      </c>
      <c r="E155" s="3">
        <v>7.5</v>
      </c>
    </row>
    <row r="156">
      <c r="A156" s="2" t="str">
        <f>IFERROR(__xludf.DUMMYFUNCTION("ai(""재료 이름을 브랜드명 제외하고 상품만 넓은범위로 간단하게 추출해줘"",C156)"),"치킨무")</f>
        <v>치킨무</v>
      </c>
      <c r="B156" s="1" t="str">
        <f>IFERROR(__xludf.DUMMYFUNCTION("AI(""이거 보고 육류, 채소, 곡물, 조미료, 기타 중에 제일 적절한걸로 골라줘"",A156)"),"채소")</f>
        <v>채소</v>
      </c>
      <c r="C156" s="1" t="s">
        <v>193</v>
      </c>
      <c r="D156" s="1" t="s">
        <v>88</v>
      </c>
      <c r="E156" s="3">
        <v>6.5</v>
      </c>
    </row>
    <row r="157">
      <c r="A157" s="2" t="str">
        <f>IFERROR(__xludf.DUMMYFUNCTION("ai(""재료 이름을 브랜드명 제외하고 상품만 넓은범위로 간단하게 추출해줘"",C157)"),"오징어채")</f>
        <v>오징어채</v>
      </c>
      <c r="B157" s="1" t="str">
        <f>IFERROR(__xludf.DUMMYFUNCTION("AI(""이거 보고 육류, 채소, 곡물, 조미료, 기타 중에 제일 적절한걸로 골라줘"",A157)"),"기타")</f>
        <v>기타</v>
      </c>
      <c r="C157" s="1" t="s">
        <v>194</v>
      </c>
      <c r="D157" s="1" t="s">
        <v>88</v>
      </c>
      <c r="E157" s="3">
        <v>90.7488986784141</v>
      </c>
    </row>
    <row r="158">
      <c r="A158" s="2" t="str">
        <f>IFERROR(__xludf.DUMMYFUNCTION("ai(""재료 이름을 브랜드명 제외하고 상품만 넓은범위로 간단하게 추출해줘"",C158)"),"오징어채 일미")</f>
        <v>오징어채 일미</v>
      </c>
      <c r="B158" s="1" t="str">
        <f>IFERROR(__xludf.DUMMYFUNCTION("AI(""이거 보고 육류, 채소, 곡물, 조미료, 기타 중에 제일 적절한걸로 골라줘"",A158)"),"기타")</f>
        <v>기타</v>
      </c>
      <c r="C158" s="1" t="s">
        <v>195</v>
      </c>
      <c r="D158" s="1" t="s">
        <v>88</v>
      </c>
      <c r="E158" s="3">
        <v>90.7488986784141</v>
      </c>
    </row>
    <row r="159">
      <c r="A159" s="2" t="str">
        <f>IFERROR(__xludf.DUMMYFUNCTION("ai(""재료 이름을 브랜드명 제외하고 상품만 넓은범위로 간단하게 추출해줘"",C159)"),"산고추")</f>
        <v>산고추</v>
      </c>
      <c r="B159" s="1" t="str">
        <f>IFERROR(__xludf.DUMMYFUNCTION("AI(""이거 보고 육류, 채소, 곡물, 조미료, 기타 중에 제일 적절한걸로 골라줘"",A159)"),"채소")</f>
        <v>채소</v>
      </c>
      <c r="C159" s="1" t="s">
        <v>196</v>
      </c>
      <c r="D159" s="1" t="s">
        <v>88</v>
      </c>
      <c r="E159" s="3">
        <v>8.2</v>
      </c>
    </row>
    <row r="160">
      <c r="A160" s="2" t="str">
        <f>IFERROR(__xludf.DUMMYFUNCTION("ai(""재료 이름을 브랜드명 제외하고 상품만 넓은범위로 간단하게 추출해줘"",C160)"),"고추절임")</f>
        <v>고추절임</v>
      </c>
      <c r="B160" s="1" t="str">
        <f>IFERROR(__xludf.DUMMYFUNCTION("AI(""이거 보고 육류, 채소, 곡물, 조미료, 기타 중에 제일 적절한걸로 골라줘"",A160)"),"기타")</f>
        <v>기타</v>
      </c>
      <c r="C160" s="1" t="s">
        <v>197</v>
      </c>
      <c r="D160" s="1" t="s">
        <v>88</v>
      </c>
      <c r="E160" s="3">
        <v>6.0</v>
      </c>
    </row>
    <row r="161">
      <c r="A161" s="1" t="s">
        <v>198</v>
      </c>
      <c r="B161" s="1" t="str">
        <f>IFERROR(__xludf.DUMMYFUNCTION("AI(""이거 보고 육류, 채소, 곡물, 조미료, 기타 중에 제일 적절한걸로 골라줘"",A161)"),"채소")</f>
        <v>채소</v>
      </c>
      <c r="C161" s="1" t="s">
        <v>199</v>
      </c>
      <c r="D161" s="1" t="s">
        <v>88</v>
      </c>
      <c r="E161" s="3">
        <v>15.3125</v>
      </c>
    </row>
    <row r="162">
      <c r="A162" s="1" t="s">
        <v>198</v>
      </c>
      <c r="B162" s="1" t="str">
        <f>IFERROR(__xludf.DUMMYFUNCTION("AI(""이거 보고 육류, 채소, 곡물, 조미료, 기타 중에 제일 적절한걸로 골라줘"",A162)"),"채소")</f>
        <v>채소</v>
      </c>
      <c r="C162" s="1" t="s">
        <v>200</v>
      </c>
      <c r="D162" s="1" t="s">
        <v>88</v>
      </c>
      <c r="E162" s="3">
        <v>20.526315789473685</v>
      </c>
    </row>
    <row r="163">
      <c r="A163" s="1" t="s">
        <v>198</v>
      </c>
      <c r="B163" s="1" t="str">
        <f>IFERROR(__xludf.DUMMYFUNCTION("AI(""이거 보고 육류, 채소, 곡물, 조미료, 기타 중에 제일 적절한걸로 골라줘"",A163)"),"채소")</f>
        <v>채소</v>
      </c>
      <c r="C163" s="1" t="s">
        <v>201</v>
      </c>
      <c r="D163" s="1" t="s">
        <v>88</v>
      </c>
      <c r="E163" s="3">
        <v>23.88888888888889</v>
      </c>
    </row>
    <row r="164">
      <c r="A164" s="1" t="s">
        <v>198</v>
      </c>
      <c r="B164" s="1" t="str">
        <f>IFERROR(__xludf.DUMMYFUNCTION("AI(""이거 보고 육류, 채소, 곡물, 조미료, 기타 중에 제일 적절한걸로 골라줘"",A164)"),"채소")</f>
        <v>채소</v>
      </c>
      <c r="C164" s="1" t="s">
        <v>202</v>
      </c>
      <c r="D164" s="1" t="s">
        <v>88</v>
      </c>
      <c r="E164" s="3">
        <v>23.88888888888889</v>
      </c>
    </row>
    <row r="165">
      <c r="A165" s="2" t="str">
        <f>IFERROR(__xludf.DUMMYFUNCTION("ai(""재료 이름을 브랜드명 제외하고 상품만 넓은범위로 간단하게 추출해줘"",C165)"),"두부")</f>
        <v>두부</v>
      </c>
      <c r="B165" s="1" t="str">
        <f>IFERROR(__xludf.DUMMYFUNCTION("AI(""이거 보고 육류, 채소, 곡물, 조미료, 기타 중에 제일 적절한걸로 골라줘"",A165)"),"기타")</f>
        <v>기타</v>
      </c>
      <c r="C165" s="1" t="s">
        <v>203</v>
      </c>
      <c r="D165" s="1" t="s">
        <v>88</v>
      </c>
      <c r="E165" s="3">
        <v>6.533333333333334</v>
      </c>
    </row>
    <row r="166">
      <c r="A166" s="2" t="str">
        <f>IFERROR(__xludf.DUMMYFUNCTION("ai(""재료 이름을 브랜드명 제외하고 상품만 넓은범위로 간단하게 추출해줘"",C166)"),"두부")</f>
        <v>두부</v>
      </c>
      <c r="B166" s="1" t="str">
        <f>IFERROR(__xludf.DUMMYFUNCTION("AI(""이거 보고 육류, 채소, 곡물, 조미료, 기타 중에 제일 적절한걸로 골라줘"",A166)"),"기타")</f>
        <v>기타</v>
      </c>
      <c r="C166" s="1" t="s">
        <v>204</v>
      </c>
      <c r="D166" s="1" t="s">
        <v>88</v>
      </c>
      <c r="E166" s="3">
        <v>10.909090909090908</v>
      </c>
    </row>
    <row r="167">
      <c r="A167" s="1" t="s">
        <v>205</v>
      </c>
      <c r="B167" s="1" t="str">
        <f>IFERROR(__xludf.DUMMYFUNCTION("AI(""이거 보고 육류, 채소, 곡물, 조미료, 기타 중에 제일 적절한걸로 골라줘"",A167)"),"기타")</f>
        <v>기타</v>
      </c>
      <c r="C167" s="1" t="s">
        <v>206</v>
      </c>
      <c r="D167" s="1" t="s">
        <v>88</v>
      </c>
      <c r="E167" s="3">
        <v>9.11111111111111</v>
      </c>
    </row>
    <row r="168">
      <c r="A168" s="2" t="str">
        <f>IFERROR(__xludf.DUMMYFUNCTION("ai(""재료 이름을 브랜드명 제외하고 상품만 넓은범위로 간단하게 추출해줘"",C168)"),"두부")</f>
        <v>두부</v>
      </c>
      <c r="B168" s="1" t="str">
        <f>IFERROR(__xludf.DUMMYFUNCTION("AI(""이거 보고 육류, 채소, 곡물, 조미료, 기타 중에 제일 적절한걸로 골라줘"",A168)"),"기타")</f>
        <v>기타</v>
      </c>
      <c r="C168" s="1" t="s">
        <v>207</v>
      </c>
      <c r="D168" s="1" t="s">
        <v>88</v>
      </c>
      <c r="E168" s="3">
        <v>11.666666666666668</v>
      </c>
    </row>
    <row r="169">
      <c r="A169" s="2" t="str">
        <f>IFERROR(__xludf.DUMMYFUNCTION("ai(""재료 이름을 브랜드명 제외하고 상품만 넓은범위로 간단하게 추출해줘"",C169)"),"두부")</f>
        <v>두부</v>
      </c>
      <c r="B169" s="1" t="str">
        <f>IFERROR(__xludf.DUMMYFUNCTION("AI(""이거 보고 육류, 채소, 곡물, 조미료, 기타 중에 제일 적절한걸로 골라줘"",A169)"),"기타")</f>
        <v>기타</v>
      </c>
      <c r="C169" s="1" t="s">
        <v>208</v>
      </c>
      <c r="D169" s="1" t="s">
        <v>88</v>
      </c>
      <c r="E169" s="3">
        <v>11.666666666666668</v>
      </c>
    </row>
    <row r="170">
      <c r="A170" s="1" t="s">
        <v>205</v>
      </c>
      <c r="B170" s="1" t="str">
        <f>IFERROR(__xludf.DUMMYFUNCTION("AI(""이거 보고 육류, 채소, 곡물, 조미료, 기타 중에 제일 적절한걸로 골라줘"",A170)"),"기타")</f>
        <v>기타</v>
      </c>
      <c r="C170" s="1" t="s">
        <v>209</v>
      </c>
      <c r="D170" s="1" t="s">
        <v>88</v>
      </c>
      <c r="E170" s="3">
        <v>9.000000000000002</v>
      </c>
    </row>
    <row r="171">
      <c r="A171" s="1" t="s">
        <v>205</v>
      </c>
      <c r="B171" s="1" t="str">
        <f>IFERROR(__xludf.DUMMYFUNCTION("AI(""이거 보고 육류, 채소, 곡물, 조미료, 기타 중에 제일 적절한걸로 골라줘"",A171)"),"기타")</f>
        <v>기타</v>
      </c>
      <c r="C171" s="1" t="s">
        <v>210</v>
      </c>
      <c r="D171" s="1" t="s">
        <v>88</v>
      </c>
      <c r="E171" s="3">
        <v>9.000000000000002</v>
      </c>
    </row>
    <row r="172">
      <c r="A172" s="2" t="str">
        <f>IFERROR(__xludf.DUMMYFUNCTION("ai(""재료 이름을 브랜드명 제외하고 상품만 넓은범위로 간단하게 추출해줘"",C172)"),"두부")</f>
        <v>두부</v>
      </c>
      <c r="B172" s="1" t="str">
        <f>IFERROR(__xludf.DUMMYFUNCTION("AI(""이거 보고 육류, 채소, 곡물, 조미료, 기타 중에 제일 적절한걸로 골라줘"",A172)"),"기타")</f>
        <v>기타</v>
      </c>
      <c r="C172" s="1" t="s">
        <v>211</v>
      </c>
      <c r="D172" s="1" t="s">
        <v>88</v>
      </c>
      <c r="E172" s="3">
        <v>5.764705882352942</v>
      </c>
    </row>
    <row r="173">
      <c r="A173" s="2" t="str">
        <f>IFERROR(__xludf.DUMMYFUNCTION("ai(""재료 이름을 브랜드명 제외하고 상품만 넓은범위로 간단하게 추출해줘"",C173)"),"순두부")</f>
        <v>순두부</v>
      </c>
      <c r="B173" s="1" t="str">
        <f>IFERROR(__xludf.DUMMYFUNCTION("AI(""이거 보고 육류, 채소, 곡물, 조미료, 기타 중에 제일 적절한걸로 골라줘"",A173)"),"기타")</f>
        <v>기타</v>
      </c>
      <c r="C173" s="1" t="s">
        <v>212</v>
      </c>
      <c r="D173" s="1" t="s">
        <v>88</v>
      </c>
      <c r="E173" s="3">
        <v>7.777777777777778</v>
      </c>
    </row>
    <row r="174">
      <c r="A174" s="2" t="str">
        <f>IFERROR(__xludf.DUMMYFUNCTION("ai(""재료 이름을 브랜드명 제외하고 상품만 넓은범위로 간단하게 추출해줘"",C174)"),"두부")</f>
        <v>두부</v>
      </c>
      <c r="B174" s="1" t="str">
        <f>IFERROR(__xludf.DUMMYFUNCTION("AI(""이거 보고 육류, 채소, 곡물, 조미료, 기타 중에 제일 적절한걸로 골라줘"",A174)"),"기타")</f>
        <v>기타</v>
      </c>
      <c r="C174" s="1" t="s">
        <v>213</v>
      </c>
      <c r="D174" s="1" t="s">
        <v>88</v>
      </c>
      <c r="E174" s="3">
        <v>10.88888888888889</v>
      </c>
    </row>
    <row r="175">
      <c r="A175" s="1" t="s">
        <v>205</v>
      </c>
      <c r="B175" s="1" t="str">
        <f>IFERROR(__xludf.DUMMYFUNCTION("AI(""이거 보고 육류, 채소, 곡물, 조미료, 기타 중에 제일 적절한걸로 골라줘"",A175)"),"기타")</f>
        <v>기타</v>
      </c>
      <c r="C175" s="1" t="s">
        <v>214</v>
      </c>
      <c r="D175" s="1" t="s">
        <v>88</v>
      </c>
      <c r="E175" s="3">
        <v>9.333333333333334</v>
      </c>
    </row>
    <row r="176">
      <c r="A176" s="2" t="str">
        <f>IFERROR(__xludf.DUMMYFUNCTION("ai(""재료 이름을 브랜드명 제외하고 상품만 넓은범위로 간단하게 추출해줘"",C176)"),"두부")</f>
        <v>두부</v>
      </c>
      <c r="B176" s="1" t="str">
        <f>IFERROR(__xludf.DUMMYFUNCTION("AI(""이거 보고 육류, 채소, 곡물, 조미료, 기타 중에 제일 적절한걸로 골라줘"",A176)"),"기타")</f>
        <v>기타</v>
      </c>
      <c r="C176" s="1" t="s">
        <v>215</v>
      </c>
      <c r="D176" s="1" t="s">
        <v>88</v>
      </c>
      <c r="E176" s="3">
        <v>10.18181818181818</v>
      </c>
    </row>
    <row r="177">
      <c r="A177" s="4" t="s">
        <v>205</v>
      </c>
      <c r="B177" s="1" t="str">
        <f>IFERROR(__xludf.DUMMYFUNCTION("AI(""이거 보고 육류, 채소, 곡물, 조미료, 기타 중에 제일 적절한걸로 골라줘"",A177)"),"기타")</f>
        <v>기타</v>
      </c>
      <c r="C177" s="1" t="s">
        <v>216</v>
      </c>
      <c r="D177" s="1" t="s">
        <v>88</v>
      </c>
      <c r="E177" s="3">
        <v>8.615384615384615</v>
      </c>
    </row>
    <row r="178">
      <c r="A178" s="2" t="str">
        <f>IFERROR(__xludf.DUMMYFUNCTION("ai(""재료 이름을 브랜드명 제외하고 상품만 넓은범위로 간단하게 추출해줘"",C178)"),"두부")</f>
        <v>두부</v>
      </c>
      <c r="B178" s="1" t="str">
        <f>IFERROR(__xludf.DUMMYFUNCTION("AI(""이거 보고 육류, 채소, 곡물, 조미료, 기타 중에 제일 적절한걸로 골라줘"",A178)"),"채소")</f>
        <v>채소</v>
      </c>
      <c r="C178" s="1" t="s">
        <v>217</v>
      </c>
      <c r="D178" s="1" t="s">
        <v>88</v>
      </c>
      <c r="E178" s="3">
        <v>8.4</v>
      </c>
    </row>
    <row r="180">
      <c r="A180" s="1" t="s">
        <v>218</v>
      </c>
      <c r="B180" s="1" t="str">
        <f>IFERROR(__xludf.DUMMYFUNCTION("AI(""이거 보고 육류, 채소, 곡물, 조미료, 기타 중에 제일 적절한걸로 골라줘"",A180)"),"채소")</f>
        <v>채소</v>
      </c>
      <c r="C180" s="1" t="s">
        <v>218</v>
      </c>
      <c r="D180" s="1" t="s">
        <v>88</v>
      </c>
      <c r="E180" s="3">
        <v>3.9</v>
      </c>
    </row>
    <row r="181">
      <c r="A181" s="1" t="s">
        <v>219</v>
      </c>
      <c r="B181" s="1" t="str">
        <f>IFERROR(__xludf.DUMMYFUNCTION("AI(""이거 보고 육류, 채소, 곡물, 조미료, 기타 중에 제일 적절한걸로 골라줘"",A181)"),"채소")</f>
        <v>채소</v>
      </c>
      <c r="C181" s="1" t="s">
        <v>219</v>
      </c>
      <c r="D181" s="1" t="s">
        <v>88</v>
      </c>
      <c r="E181" s="3">
        <v>4.6</v>
      </c>
    </row>
    <row r="182">
      <c r="A182" s="1" t="s">
        <v>220</v>
      </c>
      <c r="B182" s="1" t="str">
        <f>IFERROR(__xludf.DUMMYFUNCTION("AI(""이거 보고 육류, 채소, 곡물, 조미료, 기타 중에 제일 적절한걸로 골라줘"",A182)"),"채소")</f>
        <v>채소</v>
      </c>
      <c r="C182" s="1" t="s">
        <v>220</v>
      </c>
      <c r="D182" s="1" t="s">
        <v>88</v>
      </c>
      <c r="E182" s="3">
        <v>1.3</v>
      </c>
    </row>
    <row r="183">
      <c r="A183" s="1" t="s">
        <v>39</v>
      </c>
      <c r="B183" s="1" t="str">
        <f>IFERROR(__xludf.DUMMYFUNCTION("AI(""이거 보고 육류, 채소, 곡물, 조미료, 기타 중에 제일 적절한걸로 골라줘"",A183)"),"채소")</f>
        <v>채소</v>
      </c>
      <c r="C183" s="1" t="s">
        <v>221</v>
      </c>
      <c r="D183" s="1" t="s">
        <v>88</v>
      </c>
      <c r="E183" s="3">
        <v>4.6</v>
      </c>
    </row>
    <row r="184">
      <c r="A184" s="1" t="s">
        <v>222</v>
      </c>
      <c r="B184" s="1" t="str">
        <f>IFERROR(__xludf.DUMMYFUNCTION("AI(""이거 보고 육류, 채소, 곡물, 조미료, 기타 중에 제일 적절한걸로 골라줘"",A184)"),"채소")</f>
        <v>채소</v>
      </c>
      <c r="C184" s="1" t="s">
        <v>222</v>
      </c>
      <c r="D184" s="1" t="s">
        <v>88</v>
      </c>
      <c r="E184" s="3">
        <v>3.3</v>
      </c>
    </row>
    <row r="185">
      <c r="A185" s="1" t="s">
        <v>41</v>
      </c>
      <c r="B185" s="1" t="str">
        <f>IFERROR(__xludf.DUMMYFUNCTION("AI(""이거 보고 육류, 채소, 곡물, 조미료, 기타 중에 제일 적절한걸로 골라줘"",A185)"),"기타")</f>
        <v>기타</v>
      </c>
      <c r="C185" s="1" t="s">
        <v>223</v>
      </c>
      <c r="D185" s="1" t="s">
        <v>88</v>
      </c>
      <c r="E185" s="3">
        <v>6.428571428571429</v>
      </c>
    </row>
    <row r="186">
      <c r="A186" s="1" t="s">
        <v>224</v>
      </c>
      <c r="B186" s="1" t="str">
        <f>IFERROR(__xludf.DUMMYFUNCTION("AI(""이거 보고 육류, 채소, 곡물, 조미료, 기타 중에 제일 적절한걸로 골라줘"",A186)"),"채소")</f>
        <v>채소</v>
      </c>
      <c r="C186" s="1" t="s">
        <v>224</v>
      </c>
      <c r="D186" s="1" t="s">
        <v>88</v>
      </c>
      <c r="E186" s="3">
        <v>2.1</v>
      </c>
    </row>
    <row r="187">
      <c r="A187" s="1" t="s">
        <v>225</v>
      </c>
      <c r="B187" s="1" t="str">
        <f>IFERROR(__xludf.DUMMYFUNCTION("AI(""이거 보고 육류, 채소, 곡물, 조미료, 기타 중에 제일 적절한걸로 골라줘"",A187)"),"채소")</f>
        <v>채소</v>
      </c>
      <c r="C187" s="1" t="s">
        <v>226</v>
      </c>
      <c r="D187" s="1" t="s">
        <v>88</v>
      </c>
      <c r="E187" s="3">
        <v>4.6</v>
      </c>
    </row>
    <row r="188">
      <c r="A188" s="1" t="s">
        <v>227</v>
      </c>
      <c r="B188" s="1" t="str">
        <f>IFERROR(__xludf.DUMMYFUNCTION("AI(""이거 보고 육류, 채소, 곡물, 조미료, 기타 중에 제일 적절한걸로 골라줘"",A188)"),"조미료")</f>
        <v>조미료</v>
      </c>
      <c r="C188" s="1" t="s">
        <v>227</v>
      </c>
      <c r="D188" s="1" t="s">
        <v>88</v>
      </c>
      <c r="E188" s="3">
        <v>4.0</v>
      </c>
    </row>
  </sheetData>
  <autoFilter ref="$A$1:$A$1000"/>
  <drawing r:id="rId1"/>
</worksheet>
</file>